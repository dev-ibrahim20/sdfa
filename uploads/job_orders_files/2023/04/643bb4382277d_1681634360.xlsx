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/>
  <xr:revisionPtr revIDLastSave="0" documentId="13_ncr:1_{333036DC-DE0E-4795-B9D8-014EFC585550}" xr6:coauthVersionLast="47" xr6:coauthVersionMax="47" xr10:uidLastSave="{00000000-0000-0000-0000-000000000000}"/>
  <bookViews>
    <workbookView xWindow="-120" yWindow="-120" windowWidth="20730" windowHeight="11160" tabRatio="597" xr2:uid="{00000000-000D-0000-FFFF-FFFF00000000}"/>
  </bookViews>
  <sheets>
    <sheet name="حصر كابلات" sheetId="6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14" i="62" l="1"/>
  <c r="BQ15" i="62"/>
  <c r="BQ16" i="62"/>
  <c r="BQ17" i="62"/>
  <c r="BQ18" i="62"/>
  <c r="BQ19" i="62"/>
  <c r="BQ20" i="62"/>
  <c r="BQ21" i="62"/>
  <c r="BQ13" i="62"/>
  <c r="BN10" i="62"/>
  <c r="BN11" i="62"/>
  <c r="BN12" i="62"/>
  <c r="BN13" i="62"/>
  <c r="BN14" i="62"/>
  <c r="BN15" i="62"/>
  <c r="BN16" i="62"/>
  <c r="BN17" i="62"/>
  <c r="BN18" i="62"/>
  <c r="BN19" i="62"/>
  <c r="BN20" i="62"/>
  <c r="BN21" i="62"/>
  <c r="BN9" i="62"/>
  <c r="BK10" i="62"/>
  <c r="BK11" i="62"/>
  <c r="BK12" i="62"/>
  <c r="BK13" i="62"/>
  <c r="BK14" i="62"/>
  <c r="BK15" i="62"/>
  <c r="BK16" i="62"/>
  <c r="BK17" i="62"/>
  <c r="BK18" i="62"/>
  <c r="BK19" i="62"/>
  <c r="BK20" i="62"/>
  <c r="BK21" i="62"/>
  <c r="BK9" i="62"/>
  <c r="AP14" i="62"/>
  <c r="AP15" i="62"/>
  <c r="AP16" i="62"/>
  <c r="AP17" i="62"/>
  <c r="AP18" i="62"/>
  <c r="AP19" i="62"/>
  <c r="AP20" i="62"/>
  <c r="AP21" i="62"/>
  <c r="AP13" i="62"/>
  <c r="AJ10" i="62"/>
  <c r="AJ11" i="62"/>
  <c r="AJ12" i="62"/>
  <c r="AJ13" i="62"/>
  <c r="AJ14" i="62"/>
  <c r="AJ15" i="62"/>
  <c r="AJ16" i="62"/>
  <c r="AJ17" i="62"/>
  <c r="AJ18" i="62"/>
  <c r="AJ19" i="62"/>
  <c r="AJ20" i="62"/>
  <c r="AJ21" i="62"/>
  <c r="AJ9" i="62"/>
  <c r="X10" i="62"/>
  <c r="X11" i="62"/>
  <c r="X12" i="62"/>
  <c r="X13" i="62"/>
  <c r="X14" i="62"/>
  <c r="X15" i="62"/>
  <c r="X16" i="62"/>
  <c r="X17" i="62"/>
  <c r="X18" i="62"/>
  <c r="X19" i="62"/>
  <c r="X20" i="62"/>
  <c r="X21" i="62"/>
  <c r="X9" i="62"/>
  <c r="U10" i="62"/>
  <c r="U11" i="62"/>
  <c r="U12" i="62"/>
  <c r="U13" i="62"/>
  <c r="U14" i="62"/>
  <c r="U15" i="62"/>
  <c r="U16" i="62"/>
  <c r="U17" i="62"/>
  <c r="U18" i="62"/>
  <c r="U19" i="62"/>
  <c r="U20" i="62"/>
  <c r="U21" i="62"/>
  <c r="U9" i="62"/>
  <c r="L14" i="62"/>
  <c r="L15" i="62"/>
  <c r="L16" i="62"/>
  <c r="L17" i="62"/>
  <c r="L18" i="62"/>
  <c r="L19" i="62"/>
  <c r="L20" i="62"/>
  <c r="L21" i="62"/>
  <c r="L13" i="62"/>
  <c r="F10" i="62"/>
  <c r="F11" i="62"/>
  <c r="F12" i="62"/>
  <c r="F13" i="62"/>
  <c r="F14" i="62"/>
  <c r="F15" i="62"/>
  <c r="F16" i="62"/>
  <c r="F17" i="62"/>
  <c r="F18" i="62"/>
  <c r="F19" i="62"/>
  <c r="F20" i="62"/>
  <c r="F21" i="62"/>
  <c r="F9" i="62"/>
  <c r="BU16" i="62" l="1"/>
  <c r="BV28" i="62"/>
  <c r="BV27" i="62"/>
  <c r="BV26" i="62"/>
  <c r="BV25" i="62"/>
  <c r="BV24" i="62"/>
  <c r="BV23" i="62"/>
  <c r="BV22" i="62"/>
  <c r="BV21" i="62"/>
  <c r="BV20" i="62"/>
  <c r="BV19" i="62"/>
  <c r="BV18" i="62"/>
  <c r="BV17" i="62"/>
  <c r="BV16" i="62"/>
  <c r="BV15" i="62"/>
  <c r="BV14" i="62"/>
  <c r="BV13" i="62"/>
  <c r="BV12" i="62"/>
  <c r="BV11" i="62"/>
  <c r="BV10" i="62"/>
  <c r="BV9" i="62"/>
  <c r="BV30" i="62" l="1"/>
  <c r="BU18" i="62"/>
  <c r="BW18" i="62" s="1"/>
  <c r="BU19" i="62"/>
  <c r="BU10" i="62"/>
  <c r="BU12" i="62"/>
  <c r="BU13" i="62"/>
  <c r="BW13" i="62" s="1"/>
  <c r="BU20" i="62"/>
  <c r="BU21" i="62"/>
  <c r="BU25" i="62"/>
  <c r="BW25" i="62" s="1"/>
  <c r="BU15" i="62"/>
  <c r="BU23" i="62"/>
  <c r="BU17" i="62"/>
  <c r="BW16" i="62"/>
  <c r="BU22" i="62"/>
  <c r="BU24" i="62"/>
  <c r="BU26" i="62"/>
  <c r="BU9" i="62"/>
  <c r="BU11" i="62"/>
  <c r="BU14" i="62"/>
  <c r="BU28" i="62"/>
  <c r="BU27" i="62"/>
  <c r="BU30" i="62" l="1"/>
  <c r="BW30" i="62" s="1"/>
  <c r="BW10" i="62"/>
  <c r="BW21" i="62"/>
  <c r="BW15" i="62"/>
  <c r="BW22" i="62"/>
  <c r="BW19" i="62"/>
  <c r="BW14" i="62"/>
  <c r="BW12" i="62"/>
  <c r="BW20" i="62"/>
  <c r="BW9" i="62"/>
  <c r="BW11" i="62"/>
  <c r="BW17" i="62"/>
  <c r="BW26" i="62"/>
  <c r="BW28" i="62"/>
  <c r="BW24" i="62"/>
  <c r="BW23" i="62"/>
  <c r="BW27" i="62"/>
</calcChain>
</file>

<file path=xl/sharedStrings.xml><?xml version="1.0" encoding="utf-8"?>
<sst xmlns="http://schemas.openxmlformats.org/spreadsheetml/2006/main" count="124" uniqueCount="54">
  <si>
    <t>TV</t>
  </si>
  <si>
    <t>FAS</t>
  </si>
  <si>
    <t>NT</t>
  </si>
  <si>
    <t>Total</t>
  </si>
  <si>
    <t>BMS</t>
  </si>
  <si>
    <t>Floor</t>
  </si>
  <si>
    <t>L.C.R</t>
  </si>
  <si>
    <t>2D</t>
  </si>
  <si>
    <t>HD</t>
  </si>
  <si>
    <t>LCD</t>
  </si>
  <si>
    <t>IP</t>
  </si>
  <si>
    <t>S</t>
  </si>
  <si>
    <t>Monitor</t>
  </si>
  <si>
    <t>FA</t>
  </si>
  <si>
    <t>CC</t>
  </si>
  <si>
    <t>CC1</t>
  </si>
  <si>
    <t>FB</t>
  </si>
  <si>
    <t>TS</t>
  </si>
  <si>
    <t>CLK(W)</t>
  </si>
  <si>
    <t>AV</t>
  </si>
  <si>
    <t>DAC</t>
  </si>
  <si>
    <t>AP</t>
  </si>
  <si>
    <t>CCTV</t>
  </si>
  <si>
    <t>ACP</t>
  </si>
  <si>
    <t>CLK(C)</t>
  </si>
  <si>
    <t>P1/P2</t>
  </si>
  <si>
    <t>Building</t>
  </si>
  <si>
    <t>B1</t>
  </si>
  <si>
    <t>B2</t>
  </si>
  <si>
    <t>B3</t>
  </si>
  <si>
    <t>B4</t>
  </si>
  <si>
    <t>Basement</t>
  </si>
  <si>
    <t>Ground</t>
  </si>
  <si>
    <t>First</t>
  </si>
  <si>
    <t>Second</t>
  </si>
  <si>
    <t>Third</t>
  </si>
  <si>
    <t>المخطط</t>
  </si>
  <si>
    <t>المنفذ</t>
  </si>
  <si>
    <t>نسبة التنفيذ</t>
  </si>
  <si>
    <t>اليوم</t>
  </si>
  <si>
    <t>التاريخ</t>
  </si>
  <si>
    <t>اعداد (مهندسين)</t>
  </si>
  <si>
    <t>اعداد (فنيين)</t>
  </si>
  <si>
    <t>إجمالى عدد النقاط التى تم سحبها فى اليوم</t>
  </si>
  <si>
    <t>ملاحظات</t>
  </si>
  <si>
    <t>إيواء الطلبة 43</t>
  </si>
  <si>
    <t>الثلاثاء</t>
  </si>
  <si>
    <t>31/1/2023</t>
  </si>
  <si>
    <t>الاربعاء</t>
  </si>
  <si>
    <t>الخميس</t>
  </si>
  <si>
    <t>السبت</t>
  </si>
  <si>
    <t>الاحد</t>
  </si>
  <si>
    <t>الاثنين</t>
  </si>
  <si>
    <t>تقرير سحب الكابلات النحاسية لمبنى إيواء الطلبة 43 6/2/2023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</si>
</sst>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rgb="FF000000"/>
      <name val="Arial"/>
      <family val="2"/>
    </font>
    <font>
      <b/>
      <u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9" fontId="2" fillId="5" borderId="8" xfId="1" applyFont="1" applyFill="1" applyBorder="1" applyAlignment="1">
      <alignment horizontal="center" vertical="center"/>
    </xf>
    <xf numFmtId="9" fontId="2" fillId="5" borderId="10" xfId="1" applyFont="1" applyFill="1" applyBorder="1" applyAlignment="1">
      <alignment horizontal="center" vertical="center"/>
    </xf>
    <xf numFmtId="9" fontId="2" fillId="5" borderId="12" xfId="1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0" fontId="1" fillId="0" borderId="3" xfId="1" applyNumberFormat="1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14" fontId="4" fillId="0" borderId="25" xfId="0" applyNumberFormat="1" applyFont="1" applyBorder="1" applyAlignment="1">
      <alignment horizontal="center" vertical="center" wrapText="1"/>
    </xf>
    <xf numFmtId="14" fontId="4" fillId="0" borderId="26" xfId="0" applyNumberFormat="1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readingOrder="2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5960B"/>
      <color rgb="FFAFF7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506029</xdr:colOff>
      <xdr:row>0</xdr:row>
      <xdr:rowOff>0</xdr:rowOff>
    </xdr:from>
    <xdr:to>
      <xdr:col>74</xdr:col>
      <xdr:colOff>353426</xdr:colOff>
      <xdr:row>5</xdr:row>
      <xdr:rowOff>168017</xdr:rowOff>
    </xdr:to>
    <xdr:pic>
      <xdr:nvPicPr>
        <xdr:cNvPr id="2" name="Picture 1" descr="download">
          <a:extLst>
            <a:ext uri="{FF2B5EF4-FFF2-40B4-BE49-F238E27FC236}">
              <a16:creationId xmlns:a16="http://schemas.microsoft.com/office/drawing/2014/main" id="{2EBDFCF2-447C-45B3-94A0-1DF4806C1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33735" y="0"/>
          <a:ext cx="1147279" cy="11205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112060</xdr:colOff>
      <xdr:row>0</xdr:row>
      <xdr:rowOff>179292</xdr:rowOff>
    </xdr:from>
    <xdr:to>
      <xdr:col>2</xdr:col>
      <xdr:colOff>441065</xdr:colOff>
      <xdr:row>5</xdr:row>
      <xdr:rowOff>78327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0B8B8F-63CE-459D-A2FA-92BC18E322C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2060" y="179292"/>
          <a:ext cx="1929205" cy="8515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5:BW47"/>
  <sheetViews>
    <sheetView tabSelected="1" zoomScale="85" zoomScaleNormal="85" workbookViewId="0">
      <pane xSplit="3" ySplit="8" topLeftCell="D9" activePane="bottomRight" state="frozen"/>
      <selection activeCell="BP28" sqref="BP28"/>
      <selection pane="topRight" activeCell="BP28" sqref="BP28"/>
      <selection pane="bottomLeft" activeCell="BP28" sqref="BP28"/>
      <selection pane="bottomRight" activeCell="K33" sqref="K33:U38"/>
    </sheetView>
  </sheetViews>
  <sheetFormatPr defaultColWidth="9.140625" defaultRowHeight="15" x14ac:dyDescent="0.25"/>
  <cols>
    <col min="1" max="1" width="11" style="1" bestFit="1" customWidth="1"/>
    <col min="2" max="2" width="13" style="1" bestFit="1" customWidth="1"/>
    <col min="3" max="3" width="8.140625" style="1" bestFit="1" customWidth="1"/>
    <col min="4" max="6" width="9.7109375" style="1" customWidth="1"/>
    <col min="7" max="9" width="9.7109375" style="1" hidden="1" customWidth="1"/>
    <col min="10" max="12" width="9.7109375" style="1" customWidth="1"/>
    <col min="13" max="18" width="9.7109375" style="1" hidden="1" customWidth="1"/>
    <col min="19" max="24" width="9.7109375" style="1" customWidth="1"/>
    <col min="25" max="33" width="9.7109375" style="1" hidden="1" customWidth="1"/>
    <col min="34" max="36" width="9.7109375" style="1" customWidth="1"/>
    <col min="37" max="60" width="9.7109375" style="1" hidden="1" customWidth="1"/>
    <col min="61" max="69" width="9.7109375" style="1" customWidth="1"/>
    <col min="70" max="72" width="9.7109375" style="1" hidden="1" customWidth="1"/>
    <col min="73" max="74" width="9.7109375" style="1" customWidth="1"/>
    <col min="75" max="75" width="12" style="1" customWidth="1"/>
    <col min="76" max="16384" width="9.140625" style="1"/>
  </cols>
  <sheetData>
    <row r="5" spans="1:75" x14ac:dyDescent="0.25">
      <c r="A5" s="29" t="s">
        <v>53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</row>
    <row r="6" spans="1:75" ht="15.75" thickBot="1" x14ac:dyDescent="0.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</row>
    <row r="7" spans="1:75" x14ac:dyDescent="0.25">
      <c r="A7" s="44" t="s">
        <v>26</v>
      </c>
      <c r="B7" s="44" t="s">
        <v>5</v>
      </c>
      <c r="C7" s="44" t="s">
        <v>6</v>
      </c>
      <c r="D7" s="41" t="s">
        <v>7</v>
      </c>
      <c r="E7" s="42"/>
      <c r="F7" s="43"/>
      <c r="G7" s="41" t="s">
        <v>19</v>
      </c>
      <c r="H7" s="42"/>
      <c r="I7" s="43"/>
      <c r="J7" s="41" t="s">
        <v>4</v>
      </c>
      <c r="K7" s="42"/>
      <c r="L7" s="43"/>
      <c r="M7" s="41" t="s">
        <v>1</v>
      </c>
      <c r="N7" s="42"/>
      <c r="O7" s="43"/>
      <c r="P7" s="41" t="s">
        <v>20</v>
      </c>
      <c r="Q7" s="42"/>
      <c r="R7" s="43"/>
      <c r="S7" s="41" t="s">
        <v>2</v>
      </c>
      <c r="T7" s="42"/>
      <c r="U7" s="43"/>
      <c r="V7" s="41" t="s">
        <v>0</v>
      </c>
      <c r="W7" s="42"/>
      <c r="X7" s="43"/>
      <c r="Y7" s="41" t="s">
        <v>8</v>
      </c>
      <c r="Z7" s="42"/>
      <c r="AA7" s="43"/>
      <c r="AB7" s="41" t="s">
        <v>9</v>
      </c>
      <c r="AC7" s="42"/>
      <c r="AD7" s="43"/>
      <c r="AE7" s="41" t="s">
        <v>10</v>
      </c>
      <c r="AF7" s="42"/>
      <c r="AG7" s="43"/>
      <c r="AH7" s="41" t="s">
        <v>11</v>
      </c>
      <c r="AI7" s="42"/>
      <c r="AJ7" s="43"/>
      <c r="AK7" s="41" t="s">
        <v>12</v>
      </c>
      <c r="AL7" s="42"/>
      <c r="AM7" s="43"/>
      <c r="AN7" s="41" t="s">
        <v>18</v>
      </c>
      <c r="AO7" s="42"/>
      <c r="AP7" s="43"/>
      <c r="AQ7" s="41" t="s">
        <v>13</v>
      </c>
      <c r="AR7" s="42"/>
      <c r="AS7" s="43"/>
      <c r="AT7" s="41" t="s">
        <v>16</v>
      </c>
      <c r="AU7" s="42"/>
      <c r="AV7" s="43"/>
      <c r="AW7" s="41" t="s">
        <v>15</v>
      </c>
      <c r="AX7" s="42"/>
      <c r="AY7" s="43"/>
      <c r="AZ7" s="41" t="s">
        <v>14</v>
      </c>
      <c r="BA7" s="42"/>
      <c r="BB7" s="43"/>
      <c r="BC7" s="41" t="s">
        <v>17</v>
      </c>
      <c r="BD7" s="42"/>
      <c r="BE7" s="43"/>
      <c r="BF7" s="41" t="s">
        <v>21</v>
      </c>
      <c r="BG7" s="42"/>
      <c r="BH7" s="43"/>
      <c r="BI7" s="41" t="s">
        <v>22</v>
      </c>
      <c r="BJ7" s="42"/>
      <c r="BK7" s="43"/>
      <c r="BL7" s="41" t="s">
        <v>23</v>
      </c>
      <c r="BM7" s="42"/>
      <c r="BN7" s="43"/>
      <c r="BO7" s="41" t="s">
        <v>24</v>
      </c>
      <c r="BP7" s="42"/>
      <c r="BQ7" s="43"/>
      <c r="BR7" s="41" t="s">
        <v>25</v>
      </c>
      <c r="BS7" s="42"/>
      <c r="BT7" s="43"/>
      <c r="BU7" s="41" t="s">
        <v>3</v>
      </c>
      <c r="BV7" s="42"/>
      <c r="BW7" s="43"/>
    </row>
    <row r="8" spans="1:75" ht="15.75" thickBot="1" x14ac:dyDescent="0.3">
      <c r="A8" s="45"/>
      <c r="B8" s="46"/>
      <c r="C8" s="46"/>
      <c r="D8" s="8" t="s">
        <v>36</v>
      </c>
      <c r="E8" s="9" t="s">
        <v>37</v>
      </c>
      <c r="F8" s="10" t="s">
        <v>38</v>
      </c>
      <c r="G8" s="8" t="s">
        <v>36</v>
      </c>
      <c r="H8" s="9" t="s">
        <v>37</v>
      </c>
      <c r="I8" s="10" t="s">
        <v>38</v>
      </c>
      <c r="J8" s="8" t="s">
        <v>36</v>
      </c>
      <c r="K8" s="9" t="s">
        <v>37</v>
      </c>
      <c r="L8" s="10" t="s">
        <v>38</v>
      </c>
      <c r="M8" s="8" t="s">
        <v>36</v>
      </c>
      <c r="N8" s="9" t="s">
        <v>37</v>
      </c>
      <c r="O8" s="10" t="s">
        <v>38</v>
      </c>
      <c r="P8" s="8" t="s">
        <v>36</v>
      </c>
      <c r="Q8" s="9" t="s">
        <v>37</v>
      </c>
      <c r="R8" s="10" t="s">
        <v>38</v>
      </c>
      <c r="S8" s="8" t="s">
        <v>36</v>
      </c>
      <c r="T8" s="9" t="s">
        <v>37</v>
      </c>
      <c r="U8" s="10" t="s">
        <v>38</v>
      </c>
      <c r="V8" s="8" t="s">
        <v>36</v>
      </c>
      <c r="W8" s="9" t="s">
        <v>37</v>
      </c>
      <c r="X8" s="10" t="s">
        <v>38</v>
      </c>
      <c r="Y8" s="8" t="s">
        <v>36</v>
      </c>
      <c r="Z8" s="9" t="s">
        <v>37</v>
      </c>
      <c r="AA8" s="10" t="s">
        <v>38</v>
      </c>
      <c r="AB8" s="8" t="s">
        <v>36</v>
      </c>
      <c r="AC8" s="9" t="s">
        <v>37</v>
      </c>
      <c r="AD8" s="10" t="s">
        <v>38</v>
      </c>
      <c r="AE8" s="8" t="s">
        <v>36</v>
      </c>
      <c r="AF8" s="9" t="s">
        <v>37</v>
      </c>
      <c r="AG8" s="10" t="s">
        <v>38</v>
      </c>
      <c r="AH8" s="8" t="s">
        <v>36</v>
      </c>
      <c r="AI8" s="9" t="s">
        <v>37</v>
      </c>
      <c r="AJ8" s="10" t="s">
        <v>38</v>
      </c>
      <c r="AK8" s="8" t="s">
        <v>36</v>
      </c>
      <c r="AL8" s="9" t="s">
        <v>37</v>
      </c>
      <c r="AM8" s="10" t="s">
        <v>38</v>
      </c>
      <c r="AN8" s="8" t="s">
        <v>36</v>
      </c>
      <c r="AO8" s="9" t="s">
        <v>37</v>
      </c>
      <c r="AP8" s="10" t="s">
        <v>38</v>
      </c>
      <c r="AQ8" s="8" t="s">
        <v>36</v>
      </c>
      <c r="AR8" s="9" t="s">
        <v>37</v>
      </c>
      <c r="AS8" s="10" t="s">
        <v>38</v>
      </c>
      <c r="AT8" s="8" t="s">
        <v>36</v>
      </c>
      <c r="AU8" s="9" t="s">
        <v>37</v>
      </c>
      <c r="AV8" s="10" t="s">
        <v>38</v>
      </c>
      <c r="AW8" s="8" t="s">
        <v>36</v>
      </c>
      <c r="AX8" s="9" t="s">
        <v>37</v>
      </c>
      <c r="AY8" s="10" t="s">
        <v>38</v>
      </c>
      <c r="AZ8" s="8" t="s">
        <v>36</v>
      </c>
      <c r="BA8" s="9" t="s">
        <v>37</v>
      </c>
      <c r="BB8" s="10" t="s">
        <v>38</v>
      </c>
      <c r="BC8" s="8" t="s">
        <v>36</v>
      </c>
      <c r="BD8" s="9" t="s">
        <v>37</v>
      </c>
      <c r="BE8" s="10" t="s">
        <v>38</v>
      </c>
      <c r="BF8" s="8" t="s">
        <v>36</v>
      </c>
      <c r="BG8" s="9" t="s">
        <v>37</v>
      </c>
      <c r="BH8" s="10" t="s">
        <v>38</v>
      </c>
      <c r="BI8" s="8" t="s">
        <v>36</v>
      </c>
      <c r="BJ8" s="9" t="s">
        <v>37</v>
      </c>
      <c r="BK8" s="10" t="s">
        <v>38</v>
      </c>
      <c r="BL8" s="8" t="s">
        <v>36</v>
      </c>
      <c r="BM8" s="9" t="s">
        <v>37</v>
      </c>
      <c r="BN8" s="10" t="s">
        <v>38</v>
      </c>
      <c r="BO8" s="8" t="s">
        <v>36</v>
      </c>
      <c r="BP8" s="9" t="s">
        <v>37</v>
      </c>
      <c r="BQ8" s="10" t="s">
        <v>38</v>
      </c>
      <c r="BR8" s="8" t="s">
        <v>36</v>
      </c>
      <c r="BS8" s="9" t="s">
        <v>37</v>
      </c>
      <c r="BT8" s="10" t="s">
        <v>38</v>
      </c>
      <c r="BU8" s="8" t="s">
        <v>36</v>
      </c>
      <c r="BV8" s="9" t="s">
        <v>37</v>
      </c>
      <c r="BW8" s="10" t="s">
        <v>38</v>
      </c>
    </row>
    <row r="9" spans="1:75" ht="15.75" thickBot="1" x14ac:dyDescent="0.3">
      <c r="A9" s="50" t="s">
        <v>45</v>
      </c>
      <c r="B9" s="44" t="s">
        <v>31</v>
      </c>
      <c r="C9" s="2" t="s">
        <v>27</v>
      </c>
      <c r="D9" s="11">
        <v>66</v>
      </c>
      <c r="E9" s="12">
        <v>6</v>
      </c>
      <c r="F9" s="17">
        <f>E9/D9</f>
        <v>9.0909090909090912E-2</v>
      </c>
      <c r="G9" s="11"/>
      <c r="H9" s="12"/>
      <c r="I9" s="17"/>
      <c r="J9" s="11"/>
      <c r="K9" s="12"/>
      <c r="L9" s="17"/>
      <c r="M9" s="11"/>
      <c r="N9" s="12">
        <v>0</v>
      </c>
      <c r="O9" s="17" t="e">
        <v>#DIV/0!</v>
      </c>
      <c r="P9" s="11">
        <v>0</v>
      </c>
      <c r="Q9" s="12">
        <v>0</v>
      </c>
      <c r="R9" s="17" t="e">
        <v>#DIV/0!</v>
      </c>
      <c r="S9" s="11">
        <v>14</v>
      </c>
      <c r="T9" s="12">
        <v>2</v>
      </c>
      <c r="U9" s="17">
        <f>T9/S9</f>
        <v>0.14285714285714285</v>
      </c>
      <c r="V9" s="11">
        <v>6</v>
      </c>
      <c r="W9" s="12">
        <v>0</v>
      </c>
      <c r="X9" s="17">
        <f>W9/V9</f>
        <v>0</v>
      </c>
      <c r="Y9" s="11">
        <v>0</v>
      </c>
      <c r="Z9" s="12">
        <v>0</v>
      </c>
      <c r="AA9" s="17" t="e">
        <v>#DIV/0!</v>
      </c>
      <c r="AB9" s="11">
        <v>0</v>
      </c>
      <c r="AC9" s="12">
        <v>0</v>
      </c>
      <c r="AD9" s="17" t="e">
        <v>#DIV/0!</v>
      </c>
      <c r="AE9" s="11">
        <v>0</v>
      </c>
      <c r="AF9" s="12">
        <v>0</v>
      </c>
      <c r="AG9" s="17" t="e">
        <v>#DIV/0!</v>
      </c>
      <c r="AH9" s="11">
        <v>10</v>
      </c>
      <c r="AI9" s="12">
        <v>0</v>
      </c>
      <c r="AJ9" s="17">
        <f>AI9/AH9</f>
        <v>0</v>
      </c>
      <c r="AK9" s="11">
        <v>0</v>
      </c>
      <c r="AL9" s="12">
        <v>0</v>
      </c>
      <c r="AM9" s="17" t="e">
        <v>#DIV/0!</v>
      </c>
      <c r="AN9" s="11"/>
      <c r="AO9" s="12"/>
      <c r="AP9" s="17"/>
      <c r="AQ9" s="11">
        <v>0</v>
      </c>
      <c r="AR9" s="12">
        <v>0</v>
      </c>
      <c r="AS9" s="17" t="e">
        <v>#DIV/0!</v>
      </c>
      <c r="AT9" s="11">
        <v>0</v>
      </c>
      <c r="AU9" s="12">
        <v>0</v>
      </c>
      <c r="AV9" s="17" t="e">
        <v>#DIV/0!</v>
      </c>
      <c r="AW9" s="11">
        <v>0</v>
      </c>
      <c r="AX9" s="12">
        <v>0</v>
      </c>
      <c r="AY9" s="17" t="e">
        <v>#DIV/0!</v>
      </c>
      <c r="AZ9" s="11">
        <v>0</v>
      </c>
      <c r="BA9" s="12">
        <v>0</v>
      </c>
      <c r="BB9" s="17" t="e">
        <v>#DIV/0!</v>
      </c>
      <c r="BC9" s="11">
        <v>0</v>
      </c>
      <c r="BD9" s="12">
        <v>0</v>
      </c>
      <c r="BE9" s="17" t="e">
        <v>#DIV/0!</v>
      </c>
      <c r="BF9" s="11">
        <v>0</v>
      </c>
      <c r="BG9" s="12">
        <v>0</v>
      </c>
      <c r="BH9" s="17" t="e">
        <v>#DIV/0!</v>
      </c>
      <c r="BI9" s="11">
        <v>56</v>
      </c>
      <c r="BJ9" s="12">
        <v>6</v>
      </c>
      <c r="BK9" s="17">
        <f>BJ9/BI9</f>
        <v>0.10714285714285714</v>
      </c>
      <c r="BL9" s="11">
        <v>10</v>
      </c>
      <c r="BM9" s="12">
        <v>0</v>
      </c>
      <c r="BN9" s="17">
        <f>BM9/BL9</f>
        <v>0</v>
      </c>
      <c r="BO9" s="11"/>
      <c r="BP9" s="12"/>
      <c r="BQ9" s="17"/>
      <c r="BR9" s="11">
        <v>0</v>
      </c>
      <c r="BS9" s="12">
        <v>0</v>
      </c>
      <c r="BT9" s="17" t="e">
        <v>#DIV/0!</v>
      </c>
      <c r="BU9" s="11">
        <f>(D9+G9+J9+M9+P9+S9+V9+Y9+AB9+AE9+AH9+AK9+AN9+AQ9+AT9+AW9+AZ9+BC9+BF9+BI9+BL9+BO9+BR9)</f>
        <v>162</v>
      </c>
      <c r="BV9" s="12">
        <f>(E9+H9+K9+N9+Q9+T9+W9+Z9+AC9+AF9+AI9+AL9+AO9+AR9+AU9+AX9+BA9+BD9+BG9+BJ9+BM9+BP9+BS9)</f>
        <v>14</v>
      </c>
      <c r="BW9" s="17">
        <f>BV9/BU9</f>
        <v>8.6419753086419748E-2</v>
      </c>
    </row>
    <row r="10" spans="1:75" ht="15.75" hidden="1" customHeight="1" thickBot="1" x14ac:dyDescent="0.3">
      <c r="A10" s="51"/>
      <c r="B10" s="53"/>
      <c r="C10" s="3" t="s">
        <v>28</v>
      </c>
      <c r="D10" s="13">
        <v>0</v>
      </c>
      <c r="E10" s="14">
        <v>0</v>
      </c>
      <c r="F10" s="17" t="e">
        <f t="shared" ref="F10:F21" si="0">E10/D10</f>
        <v>#DIV/0!</v>
      </c>
      <c r="G10" s="13">
        <v>0</v>
      </c>
      <c r="H10" s="14">
        <v>0</v>
      </c>
      <c r="I10" s="18" t="e">
        <v>#DIV/0!</v>
      </c>
      <c r="J10" s="13">
        <v>0</v>
      </c>
      <c r="K10" s="14">
        <v>0</v>
      </c>
      <c r="L10" s="18" t="e">
        <v>#DIV/0!</v>
      </c>
      <c r="M10" s="13">
        <v>0</v>
      </c>
      <c r="N10" s="14">
        <v>0</v>
      </c>
      <c r="O10" s="18" t="e">
        <v>#DIV/0!</v>
      </c>
      <c r="P10" s="13">
        <v>0</v>
      </c>
      <c r="Q10" s="14">
        <v>0</v>
      </c>
      <c r="R10" s="18" t="e">
        <v>#DIV/0!</v>
      </c>
      <c r="S10" s="13">
        <v>0</v>
      </c>
      <c r="T10" s="14">
        <v>0</v>
      </c>
      <c r="U10" s="17" t="e">
        <f t="shared" ref="U10:U21" si="1">T10/S10</f>
        <v>#DIV/0!</v>
      </c>
      <c r="V10" s="13">
        <v>0</v>
      </c>
      <c r="W10" s="14">
        <v>0</v>
      </c>
      <c r="X10" s="17" t="e">
        <f t="shared" ref="X10:X21" si="2">W10/V10</f>
        <v>#DIV/0!</v>
      </c>
      <c r="Y10" s="13">
        <v>0</v>
      </c>
      <c r="Z10" s="14">
        <v>0</v>
      </c>
      <c r="AA10" s="18" t="e">
        <v>#DIV/0!</v>
      </c>
      <c r="AB10" s="13">
        <v>0</v>
      </c>
      <c r="AC10" s="14">
        <v>0</v>
      </c>
      <c r="AD10" s="18" t="e">
        <v>#DIV/0!</v>
      </c>
      <c r="AE10" s="13">
        <v>0</v>
      </c>
      <c r="AF10" s="14">
        <v>0</v>
      </c>
      <c r="AG10" s="18" t="e">
        <v>#DIV/0!</v>
      </c>
      <c r="AH10" s="13">
        <v>0</v>
      </c>
      <c r="AI10" s="14">
        <v>0</v>
      </c>
      <c r="AJ10" s="17" t="e">
        <f t="shared" ref="AJ10:AJ21" si="3">AI10/AH10</f>
        <v>#DIV/0!</v>
      </c>
      <c r="AK10" s="13">
        <v>0</v>
      </c>
      <c r="AL10" s="14">
        <v>0</v>
      </c>
      <c r="AM10" s="18" t="e">
        <v>#DIV/0!</v>
      </c>
      <c r="AN10" s="13">
        <v>0</v>
      </c>
      <c r="AO10" s="14">
        <v>0</v>
      </c>
      <c r="AP10" s="18" t="e">
        <v>#DIV/0!</v>
      </c>
      <c r="AQ10" s="13">
        <v>0</v>
      </c>
      <c r="AR10" s="14">
        <v>0</v>
      </c>
      <c r="AS10" s="18" t="e">
        <v>#DIV/0!</v>
      </c>
      <c r="AT10" s="13">
        <v>0</v>
      </c>
      <c r="AU10" s="14">
        <v>0</v>
      </c>
      <c r="AV10" s="18" t="e">
        <v>#DIV/0!</v>
      </c>
      <c r="AW10" s="13">
        <v>0</v>
      </c>
      <c r="AX10" s="14">
        <v>0</v>
      </c>
      <c r="AY10" s="18" t="e">
        <v>#DIV/0!</v>
      </c>
      <c r="AZ10" s="13">
        <v>0</v>
      </c>
      <c r="BA10" s="14">
        <v>0</v>
      </c>
      <c r="BB10" s="18" t="e">
        <v>#DIV/0!</v>
      </c>
      <c r="BC10" s="13">
        <v>0</v>
      </c>
      <c r="BD10" s="14">
        <v>0</v>
      </c>
      <c r="BE10" s="18" t="e">
        <v>#DIV/0!</v>
      </c>
      <c r="BF10" s="13">
        <v>0</v>
      </c>
      <c r="BG10" s="14">
        <v>0</v>
      </c>
      <c r="BH10" s="18" t="e">
        <v>#DIV/0!</v>
      </c>
      <c r="BI10" s="13">
        <v>0</v>
      </c>
      <c r="BJ10" s="14">
        <v>0</v>
      </c>
      <c r="BK10" s="17" t="e">
        <f t="shared" ref="BK10:BK21" si="4">BJ10/BI10</f>
        <v>#DIV/0!</v>
      </c>
      <c r="BL10" s="13">
        <v>0</v>
      </c>
      <c r="BM10" s="14">
        <v>0</v>
      </c>
      <c r="BN10" s="17" t="e">
        <f t="shared" ref="BN10:BN21" si="5">BM10/BL10</f>
        <v>#DIV/0!</v>
      </c>
      <c r="BO10" s="13">
        <v>0</v>
      </c>
      <c r="BP10" s="14">
        <v>0</v>
      </c>
      <c r="BQ10" s="18" t="e">
        <v>#DIV/0!</v>
      </c>
      <c r="BR10" s="13">
        <v>0</v>
      </c>
      <c r="BS10" s="14">
        <v>0</v>
      </c>
      <c r="BT10" s="18" t="e">
        <v>#DIV/0!</v>
      </c>
      <c r="BU10" s="13">
        <f t="shared" ref="BU10:BV28" si="6">(D10+G10+J10+M10+P10+S10+V10+Y10+AB10+AE10+AH10+AK10+AN10+AQ10+AT10+AW10+AZ10+BC10+BF10+BI10+BL10+BO10+BR10)</f>
        <v>0</v>
      </c>
      <c r="BV10" s="14">
        <f t="shared" si="6"/>
        <v>0</v>
      </c>
      <c r="BW10" s="18" t="e">
        <f t="shared" ref="BW10:BW28" si="7">BV10/BU10</f>
        <v>#DIV/0!</v>
      </c>
    </row>
    <row r="11" spans="1:75" ht="15.75" hidden="1" customHeight="1" thickBot="1" x14ac:dyDescent="0.3">
      <c r="A11" s="51"/>
      <c r="B11" s="53"/>
      <c r="C11" s="3" t="s">
        <v>29</v>
      </c>
      <c r="D11" s="13">
        <v>0</v>
      </c>
      <c r="E11" s="14">
        <v>0</v>
      </c>
      <c r="F11" s="17" t="e">
        <f t="shared" si="0"/>
        <v>#DIV/0!</v>
      </c>
      <c r="G11" s="13">
        <v>0</v>
      </c>
      <c r="H11" s="14">
        <v>0</v>
      </c>
      <c r="I11" s="18" t="e">
        <v>#DIV/0!</v>
      </c>
      <c r="J11" s="13">
        <v>0</v>
      </c>
      <c r="K11" s="14">
        <v>0</v>
      </c>
      <c r="L11" s="18" t="e">
        <v>#DIV/0!</v>
      </c>
      <c r="M11" s="13">
        <v>0</v>
      </c>
      <c r="N11" s="14">
        <v>0</v>
      </c>
      <c r="O11" s="18" t="e">
        <v>#DIV/0!</v>
      </c>
      <c r="P11" s="13">
        <v>0</v>
      </c>
      <c r="Q11" s="14">
        <v>0</v>
      </c>
      <c r="R11" s="18" t="e">
        <v>#DIV/0!</v>
      </c>
      <c r="S11" s="13">
        <v>0</v>
      </c>
      <c r="T11" s="14">
        <v>0</v>
      </c>
      <c r="U11" s="17" t="e">
        <f t="shared" si="1"/>
        <v>#DIV/0!</v>
      </c>
      <c r="V11" s="13">
        <v>0</v>
      </c>
      <c r="W11" s="14">
        <v>0</v>
      </c>
      <c r="X11" s="17" t="e">
        <f t="shared" si="2"/>
        <v>#DIV/0!</v>
      </c>
      <c r="Y11" s="13">
        <v>0</v>
      </c>
      <c r="Z11" s="14">
        <v>0</v>
      </c>
      <c r="AA11" s="18" t="e">
        <v>#DIV/0!</v>
      </c>
      <c r="AB11" s="13">
        <v>0</v>
      </c>
      <c r="AC11" s="14">
        <v>0</v>
      </c>
      <c r="AD11" s="18" t="e">
        <v>#DIV/0!</v>
      </c>
      <c r="AE11" s="13">
        <v>0</v>
      </c>
      <c r="AF11" s="14">
        <v>0</v>
      </c>
      <c r="AG11" s="18" t="e">
        <v>#DIV/0!</v>
      </c>
      <c r="AH11" s="13">
        <v>0</v>
      </c>
      <c r="AI11" s="14">
        <v>0</v>
      </c>
      <c r="AJ11" s="17" t="e">
        <f t="shared" si="3"/>
        <v>#DIV/0!</v>
      </c>
      <c r="AK11" s="13">
        <v>0</v>
      </c>
      <c r="AL11" s="14">
        <v>0</v>
      </c>
      <c r="AM11" s="18" t="e">
        <v>#DIV/0!</v>
      </c>
      <c r="AN11" s="13">
        <v>0</v>
      </c>
      <c r="AO11" s="14">
        <v>0</v>
      </c>
      <c r="AP11" s="18" t="e">
        <v>#DIV/0!</v>
      </c>
      <c r="AQ11" s="13">
        <v>0</v>
      </c>
      <c r="AR11" s="14">
        <v>0</v>
      </c>
      <c r="AS11" s="18" t="e">
        <v>#DIV/0!</v>
      </c>
      <c r="AT11" s="13">
        <v>0</v>
      </c>
      <c r="AU11" s="14">
        <v>0</v>
      </c>
      <c r="AV11" s="18" t="e">
        <v>#DIV/0!</v>
      </c>
      <c r="AW11" s="13">
        <v>0</v>
      </c>
      <c r="AX11" s="14">
        <v>0</v>
      </c>
      <c r="AY11" s="18" t="e">
        <v>#DIV/0!</v>
      </c>
      <c r="AZ11" s="13">
        <v>0</v>
      </c>
      <c r="BA11" s="14">
        <v>0</v>
      </c>
      <c r="BB11" s="18" t="e">
        <v>#DIV/0!</v>
      </c>
      <c r="BC11" s="13">
        <v>0</v>
      </c>
      <c r="BD11" s="14">
        <v>0</v>
      </c>
      <c r="BE11" s="18" t="e">
        <v>#DIV/0!</v>
      </c>
      <c r="BF11" s="13">
        <v>0</v>
      </c>
      <c r="BG11" s="14">
        <v>0</v>
      </c>
      <c r="BH11" s="18" t="e">
        <v>#DIV/0!</v>
      </c>
      <c r="BI11" s="13">
        <v>0</v>
      </c>
      <c r="BJ11" s="14">
        <v>0</v>
      </c>
      <c r="BK11" s="17" t="e">
        <f t="shared" si="4"/>
        <v>#DIV/0!</v>
      </c>
      <c r="BL11" s="13">
        <v>0</v>
      </c>
      <c r="BM11" s="14">
        <v>0</v>
      </c>
      <c r="BN11" s="17" t="e">
        <f t="shared" si="5"/>
        <v>#DIV/0!</v>
      </c>
      <c r="BO11" s="13">
        <v>0</v>
      </c>
      <c r="BP11" s="14">
        <v>0</v>
      </c>
      <c r="BQ11" s="18" t="e">
        <v>#DIV/0!</v>
      </c>
      <c r="BR11" s="13">
        <v>0</v>
      </c>
      <c r="BS11" s="14">
        <v>0</v>
      </c>
      <c r="BT11" s="18" t="e">
        <v>#DIV/0!</v>
      </c>
      <c r="BU11" s="13">
        <f t="shared" si="6"/>
        <v>0</v>
      </c>
      <c r="BV11" s="14">
        <f t="shared" si="6"/>
        <v>0</v>
      </c>
      <c r="BW11" s="18" t="e">
        <f t="shared" si="7"/>
        <v>#DIV/0!</v>
      </c>
    </row>
    <row r="12" spans="1:75" ht="15.75" hidden="1" customHeight="1" thickBot="1" x14ac:dyDescent="0.3">
      <c r="A12" s="51"/>
      <c r="B12" s="45"/>
      <c r="C12" s="4" t="s">
        <v>30</v>
      </c>
      <c r="D12" s="15">
        <v>0</v>
      </c>
      <c r="E12" s="16">
        <v>0</v>
      </c>
      <c r="F12" s="17" t="e">
        <f t="shared" si="0"/>
        <v>#DIV/0!</v>
      </c>
      <c r="G12" s="15">
        <v>0</v>
      </c>
      <c r="H12" s="16">
        <v>0</v>
      </c>
      <c r="I12" s="19" t="e">
        <v>#DIV/0!</v>
      </c>
      <c r="J12" s="15">
        <v>0</v>
      </c>
      <c r="K12" s="16">
        <v>0</v>
      </c>
      <c r="L12" s="19" t="e">
        <v>#DIV/0!</v>
      </c>
      <c r="M12" s="15">
        <v>0</v>
      </c>
      <c r="N12" s="16">
        <v>0</v>
      </c>
      <c r="O12" s="19" t="e">
        <v>#DIV/0!</v>
      </c>
      <c r="P12" s="15">
        <v>0</v>
      </c>
      <c r="Q12" s="16">
        <v>0</v>
      </c>
      <c r="R12" s="19" t="e">
        <v>#DIV/0!</v>
      </c>
      <c r="S12" s="15">
        <v>0</v>
      </c>
      <c r="T12" s="16">
        <v>0</v>
      </c>
      <c r="U12" s="17" t="e">
        <f t="shared" si="1"/>
        <v>#DIV/0!</v>
      </c>
      <c r="V12" s="15">
        <v>0</v>
      </c>
      <c r="W12" s="16">
        <v>0</v>
      </c>
      <c r="X12" s="17" t="e">
        <f t="shared" si="2"/>
        <v>#DIV/0!</v>
      </c>
      <c r="Y12" s="15">
        <v>0</v>
      </c>
      <c r="Z12" s="16">
        <v>0</v>
      </c>
      <c r="AA12" s="19" t="e">
        <v>#DIV/0!</v>
      </c>
      <c r="AB12" s="15">
        <v>0</v>
      </c>
      <c r="AC12" s="16">
        <v>0</v>
      </c>
      <c r="AD12" s="19" t="e">
        <v>#DIV/0!</v>
      </c>
      <c r="AE12" s="15">
        <v>0</v>
      </c>
      <c r="AF12" s="16">
        <v>0</v>
      </c>
      <c r="AG12" s="19" t="e">
        <v>#DIV/0!</v>
      </c>
      <c r="AH12" s="15">
        <v>0</v>
      </c>
      <c r="AI12" s="16">
        <v>0</v>
      </c>
      <c r="AJ12" s="17" t="e">
        <f t="shared" si="3"/>
        <v>#DIV/0!</v>
      </c>
      <c r="AK12" s="15">
        <v>0</v>
      </c>
      <c r="AL12" s="16">
        <v>0</v>
      </c>
      <c r="AM12" s="19" t="e">
        <v>#DIV/0!</v>
      </c>
      <c r="AN12" s="15">
        <v>0</v>
      </c>
      <c r="AO12" s="16">
        <v>0</v>
      </c>
      <c r="AP12" s="19" t="e">
        <v>#DIV/0!</v>
      </c>
      <c r="AQ12" s="15">
        <v>0</v>
      </c>
      <c r="AR12" s="16">
        <v>0</v>
      </c>
      <c r="AS12" s="19" t="e">
        <v>#DIV/0!</v>
      </c>
      <c r="AT12" s="15">
        <v>0</v>
      </c>
      <c r="AU12" s="16">
        <v>0</v>
      </c>
      <c r="AV12" s="19" t="e">
        <v>#DIV/0!</v>
      </c>
      <c r="AW12" s="15">
        <v>0</v>
      </c>
      <c r="AX12" s="16">
        <v>0</v>
      </c>
      <c r="AY12" s="19" t="e">
        <v>#DIV/0!</v>
      </c>
      <c r="AZ12" s="15">
        <v>0</v>
      </c>
      <c r="BA12" s="16">
        <v>0</v>
      </c>
      <c r="BB12" s="19" t="e">
        <v>#DIV/0!</v>
      </c>
      <c r="BC12" s="15">
        <v>0</v>
      </c>
      <c r="BD12" s="16">
        <v>0</v>
      </c>
      <c r="BE12" s="19" t="e">
        <v>#DIV/0!</v>
      </c>
      <c r="BF12" s="15">
        <v>0</v>
      </c>
      <c r="BG12" s="16">
        <v>0</v>
      </c>
      <c r="BH12" s="19" t="e">
        <v>#DIV/0!</v>
      </c>
      <c r="BI12" s="15">
        <v>0</v>
      </c>
      <c r="BJ12" s="16">
        <v>0</v>
      </c>
      <c r="BK12" s="17" t="e">
        <f t="shared" si="4"/>
        <v>#DIV/0!</v>
      </c>
      <c r="BL12" s="15">
        <v>0</v>
      </c>
      <c r="BM12" s="16">
        <v>0</v>
      </c>
      <c r="BN12" s="17" t="e">
        <f t="shared" si="5"/>
        <v>#DIV/0!</v>
      </c>
      <c r="BO12" s="15">
        <v>0</v>
      </c>
      <c r="BP12" s="16">
        <v>0</v>
      </c>
      <c r="BQ12" s="19" t="e">
        <v>#DIV/0!</v>
      </c>
      <c r="BR12" s="15">
        <v>0</v>
      </c>
      <c r="BS12" s="16">
        <v>0</v>
      </c>
      <c r="BT12" s="19" t="e">
        <v>#DIV/0!</v>
      </c>
      <c r="BU12" s="15">
        <f t="shared" si="6"/>
        <v>0</v>
      </c>
      <c r="BV12" s="16">
        <f t="shared" si="6"/>
        <v>0</v>
      </c>
      <c r="BW12" s="19" t="e">
        <f t="shared" si="7"/>
        <v>#DIV/0!</v>
      </c>
    </row>
    <row r="13" spans="1:75" ht="15.75" thickBot="1" x14ac:dyDescent="0.3">
      <c r="A13" s="51"/>
      <c r="B13" s="44" t="s">
        <v>32</v>
      </c>
      <c r="C13" s="5">
        <v>1</v>
      </c>
      <c r="D13" s="11">
        <v>12</v>
      </c>
      <c r="E13" s="12">
        <v>4</v>
      </c>
      <c r="F13" s="17">
        <f t="shared" si="0"/>
        <v>0.33333333333333331</v>
      </c>
      <c r="G13" s="11">
        <v>0</v>
      </c>
      <c r="H13" s="12">
        <v>0</v>
      </c>
      <c r="I13" s="17" t="e">
        <v>#DIV/0!</v>
      </c>
      <c r="J13" s="11">
        <v>2</v>
      </c>
      <c r="K13" s="12">
        <v>0</v>
      </c>
      <c r="L13" s="17">
        <f>K13/J13</f>
        <v>0</v>
      </c>
      <c r="M13" s="11">
        <v>0</v>
      </c>
      <c r="N13" s="12">
        <v>0</v>
      </c>
      <c r="O13" s="17" t="e">
        <v>#DIV/0!</v>
      </c>
      <c r="P13" s="11">
        <v>0</v>
      </c>
      <c r="Q13" s="12">
        <v>0</v>
      </c>
      <c r="R13" s="17" t="e">
        <v>#DIV/0!</v>
      </c>
      <c r="S13" s="11">
        <v>2</v>
      </c>
      <c r="T13" s="12">
        <v>0</v>
      </c>
      <c r="U13" s="17">
        <f t="shared" si="1"/>
        <v>0</v>
      </c>
      <c r="V13" s="11">
        <v>2</v>
      </c>
      <c r="W13" s="12">
        <v>0</v>
      </c>
      <c r="X13" s="17">
        <f t="shared" si="2"/>
        <v>0</v>
      </c>
      <c r="Y13" s="11">
        <v>0</v>
      </c>
      <c r="Z13" s="12">
        <v>0</v>
      </c>
      <c r="AA13" s="17" t="e">
        <v>#DIV/0!</v>
      </c>
      <c r="AB13" s="11">
        <v>0</v>
      </c>
      <c r="AC13" s="12">
        <v>0</v>
      </c>
      <c r="AD13" s="17" t="e">
        <v>#DIV/0!</v>
      </c>
      <c r="AE13" s="11">
        <v>0</v>
      </c>
      <c r="AF13" s="12">
        <v>0</v>
      </c>
      <c r="AG13" s="17" t="e">
        <v>#DIV/0!</v>
      </c>
      <c r="AH13" s="11">
        <v>34</v>
      </c>
      <c r="AI13" s="12">
        <v>34</v>
      </c>
      <c r="AJ13" s="17">
        <f t="shared" si="3"/>
        <v>1</v>
      </c>
      <c r="AK13" s="11">
        <v>0</v>
      </c>
      <c r="AL13" s="12">
        <v>0</v>
      </c>
      <c r="AM13" s="17" t="e">
        <v>#DIV/0!</v>
      </c>
      <c r="AN13" s="11"/>
      <c r="AO13" s="12"/>
      <c r="AP13" s="17" t="e">
        <f>AO13/AN13</f>
        <v>#DIV/0!</v>
      </c>
      <c r="AQ13" s="11">
        <v>0</v>
      </c>
      <c r="AR13" s="12">
        <v>0</v>
      </c>
      <c r="AS13" s="17" t="e">
        <v>#DIV/0!</v>
      </c>
      <c r="AT13" s="11">
        <v>0</v>
      </c>
      <c r="AU13" s="12">
        <v>0</v>
      </c>
      <c r="AV13" s="17" t="e">
        <v>#DIV/0!</v>
      </c>
      <c r="AW13" s="11">
        <v>0</v>
      </c>
      <c r="AX13" s="12">
        <v>0</v>
      </c>
      <c r="AY13" s="17" t="e">
        <v>#DIV/0!</v>
      </c>
      <c r="AZ13" s="11">
        <v>0</v>
      </c>
      <c r="BA13" s="12">
        <v>0</v>
      </c>
      <c r="BB13" s="17" t="e">
        <v>#DIV/0!</v>
      </c>
      <c r="BC13" s="11">
        <v>0</v>
      </c>
      <c r="BD13" s="12">
        <v>0</v>
      </c>
      <c r="BE13" s="17" t="e">
        <v>#DIV/0!</v>
      </c>
      <c r="BF13" s="11">
        <v>0</v>
      </c>
      <c r="BG13" s="12">
        <v>0</v>
      </c>
      <c r="BH13" s="17" t="e">
        <v>#DIV/0!</v>
      </c>
      <c r="BI13" s="11">
        <v>48</v>
      </c>
      <c r="BJ13" s="12">
        <v>34</v>
      </c>
      <c r="BK13" s="17">
        <f t="shared" si="4"/>
        <v>0.70833333333333337</v>
      </c>
      <c r="BL13" s="11">
        <v>4</v>
      </c>
      <c r="BM13" s="12">
        <v>0</v>
      </c>
      <c r="BN13" s="17">
        <f t="shared" si="5"/>
        <v>0</v>
      </c>
      <c r="BO13" s="11">
        <v>8</v>
      </c>
      <c r="BP13" s="12">
        <v>6</v>
      </c>
      <c r="BQ13" s="17">
        <f>BP13/BO13</f>
        <v>0.75</v>
      </c>
      <c r="BR13" s="11">
        <v>0</v>
      </c>
      <c r="BS13" s="12">
        <v>0</v>
      </c>
      <c r="BT13" s="17" t="e">
        <v>#DIV/0!</v>
      </c>
      <c r="BU13" s="11">
        <f t="shared" si="6"/>
        <v>112</v>
      </c>
      <c r="BV13" s="12">
        <f t="shared" si="6"/>
        <v>78</v>
      </c>
      <c r="BW13" s="17">
        <f t="shared" si="7"/>
        <v>0.6964285714285714</v>
      </c>
    </row>
    <row r="14" spans="1:75" ht="15.75" hidden="1" customHeight="1" thickBot="1" x14ac:dyDescent="0.3">
      <c r="A14" s="51"/>
      <c r="B14" s="53"/>
      <c r="C14" s="6">
        <v>2</v>
      </c>
      <c r="D14" s="13">
        <v>0</v>
      </c>
      <c r="E14" s="14">
        <v>0</v>
      </c>
      <c r="F14" s="17" t="e">
        <f t="shared" si="0"/>
        <v>#DIV/0!</v>
      </c>
      <c r="G14" s="13">
        <v>0</v>
      </c>
      <c r="H14" s="14">
        <v>0</v>
      </c>
      <c r="I14" s="18" t="e">
        <v>#DIV/0!</v>
      </c>
      <c r="J14" s="13">
        <v>0</v>
      </c>
      <c r="K14" s="14">
        <v>0</v>
      </c>
      <c r="L14" s="17" t="e">
        <f t="shared" ref="L14:L21" si="8">K14/J14</f>
        <v>#DIV/0!</v>
      </c>
      <c r="M14" s="13">
        <v>0</v>
      </c>
      <c r="N14" s="14">
        <v>0</v>
      </c>
      <c r="O14" s="18" t="e">
        <v>#DIV/0!</v>
      </c>
      <c r="P14" s="13">
        <v>0</v>
      </c>
      <c r="Q14" s="14">
        <v>0</v>
      </c>
      <c r="R14" s="18" t="e">
        <v>#DIV/0!</v>
      </c>
      <c r="S14" s="13">
        <v>0</v>
      </c>
      <c r="T14" s="14">
        <v>0</v>
      </c>
      <c r="U14" s="17" t="e">
        <f t="shared" si="1"/>
        <v>#DIV/0!</v>
      </c>
      <c r="V14" s="13">
        <v>0</v>
      </c>
      <c r="W14" s="14">
        <v>0</v>
      </c>
      <c r="X14" s="17" t="e">
        <f t="shared" si="2"/>
        <v>#DIV/0!</v>
      </c>
      <c r="Y14" s="13">
        <v>0</v>
      </c>
      <c r="Z14" s="14">
        <v>0</v>
      </c>
      <c r="AA14" s="18" t="e">
        <v>#DIV/0!</v>
      </c>
      <c r="AB14" s="13">
        <v>0</v>
      </c>
      <c r="AC14" s="14">
        <v>0</v>
      </c>
      <c r="AD14" s="18" t="e">
        <v>#DIV/0!</v>
      </c>
      <c r="AE14" s="13">
        <v>0</v>
      </c>
      <c r="AF14" s="14">
        <v>0</v>
      </c>
      <c r="AG14" s="18" t="e">
        <v>#DIV/0!</v>
      </c>
      <c r="AH14" s="13">
        <v>0</v>
      </c>
      <c r="AI14" s="14">
        <v>0</v>
      </c>
      <c r="AJ14" s="17" t="e">
        <f t="shared" si="3"/>
        <v>#DIV/0!</v>
      </c>
      <c r="AK14" s="13">
        <v>0</v>
      </c>
      <c r="AL14" s="14">
        <v>0</v>
      </c>
      <c r="AM14" s="18" t="e">
        <v>#DIV/0!</v>
      </c>
      <c r="AN14" s="13"/>
      <c r="AO14" s="14"/>
      <c r="AP14" s="17" t="e">
        <f t="shared" ref="AP14:AP21" si="9">AO14/AN14</f>
        <v>#DIV/0!</v>
      </c>
      <c r="AQ14" s="13">
        <v>0</v>
      </c>
      <c r="AR14" s="14">
        <v>0</v>
      </c>
      <c r="AS14" s="18" t="e">
        <v>#DIV/0!</v>
      </c>
      <c r="AT14" s="13">
        <v>0</v>
      </c>
      <c r="AU14" s="14">
        <v>0</v>
      </c>
      <c r="AV14" s="18" t="e">
        <v>#DIV/0!</v>
      </c>
      <c r="AW14" s="13">
        <v>0</v>
      </c>
      <c r="AX14" s="14">
        <v>0</v>
      </c>
      <c r="AY14" s="18" t="e">
        <v>#DIV/0!</v>
      </c>
      <c r="AZ14" s="13">
        <v>0</v>
      </c>
      <c r="BA14" s="14">
        <v>0</v>
      </c>
      <c r="BB14" s="18" t="e">
        <v>#DIV/0!</v>
      </c>
      <c r="BC14" s="13">
        <v>0</v>
      </c>
      <c r="BD14" s="14">
        <v>0</v>
      </c>
      <c r="BE14" s="18" t="e">
        <v>#DIV/0!</v>
      </c>
      <c r="BF14" s="13">
        <v>0</v>
      </c>
      <c r="BG14" s="14">
        <v>0</v>
      </c>
      <c r="BH14" s="18" t="e">
        <v>#DIV/0!</v>
      </c>
      <c r="BI14" s="13">
        <v>0</v>
      </c>
      <c r="BJ14" s="14">
        <v>0</v>
      </c>
      <c r="BK14" s="17" t="e">
        <f t="shared" si="4"/>
        <v>#DIV/0!</v>
      </c>
      <c r="BL14" s="13">
        <v>0</v>
      </c>
      <c r="BM14" s="14">
        <v>0</v>
      </c>
      <c r="BN14" s="17" t="e">
        <f t="shared" si="5"/>
        <v>#DIV/0!</v>
      </c>
      <c r="BO14" s="13">
        <v>0</v>
      </c>
      <c r="BP14" s="14">
        <v>0</v>
      </c>
      <c r="BQ14" s="17" t="e">
        <f t="shared" ref="BQ14:BQ21" si="10">BP14/BO14</f>
        <v>#DIV/0!</v>
      </c>
      <c r="BR14" s="13">
        <v>0</v>
      </c>
      <c r="BS14" s="14">
        <v>0</v>
      </c>
      <c r="BT14" s="18" t="e">
        <v>#DIV/0!</v>
      </c>
      <c r="BU14" s="13">
        <f t="shared" si="6"/>
        <v>0</v>
      </c>
      <c r="BV14" s="14">
        <f t="shared" si="6"/>
        <v>0</v>
      </c>
      <c r="BW14" s="18" t="e">
        <f t="shared" si="7"/>
        <v>#DIV/0!</v>
      </c>
    </row>
    <row r="15" spans="1:75" ht="15.75" hidden="1" customHeight="1" thickBot="1" x14ac:dyDescent="0.3">
      <c r="A15" s="51"/>
      <c r="B15" s="53"/>
      <c r="C15" s="6">
        <v>3</v>
      </c>
      <c r="D15" s="13">
        <v>0</v>
      </c>
      <c r="E15" s="14">
        <v>0</v>
      </c>
      <c r="F15" s="17" t="e">
        <f t="shared" si="0"/>
        <v>#DIV/0!</v>
      </c>
      <c r="G15" s="13">
        <v>0</v>
      </c>
      <c r="H15" s="14">
        <v>0</v>
      </c>
      <c r="I15" s="18" t="e">
        <v>#DIV/0!</v>
      </c>
      <c r="J15" s="13">
        <v>0</v>
      </c>
      <c r="K15" s="14">
        <v>0</v>
      </c>
      <c r="L15" s="17" t="e">
        <f t="shared" si="8"/>
        <v>#DIV/0!</v>
      </c>
      <c r="M15" s="13">
        <v>0</v>
      </c>
      <c r="N15" s="14">
        <v>0</v>
      </c>
      <c r="O15" s="18" t="e">
        <v>#DIV/0!</v>
      </c>
      <c r="P15" s="13">
        <v>0</v>
      </c>
      <c r="Q15" s="14">
        <v>0</v>
      </c>
      <c r="R15" s="18" t="e">
        <v>#DIV/0!</v>
      </c>
      <c r="S15" s="13">
        <v>0</v>
      </c>
      <c r="T15" s="14">
        <v>0</v>
      </c>
      <c r="U15" s="17" t="e">
        <f t="shared" si="1"/>
        <v>#DIV/0!</v>
      </c>
      <c r="V15" s="13">
        <v>0</v>
      </c>
      <c r="W15" s="14">
        <v>0</v>
      </c>
      <c r="X15" s="17" t="e">
        <f t="shared" si="2"/>
        <v>#DIV/0!</v>
      </c>
      <c r="Y15" s="13">
        <v>0</v>
      </c>
      <c r="Z15" s="14">
        <v>0</v>
      </c>
      <c r="AA15" s="18" t="e">
        <v>#DIV/0!</v>
      </c>
      <c r="AB15" s="13">
        <v>0</v>
      </c>
      <c r="AC15" s="14">
        <v>0</v>
      </c>
      <c r="AD15" s="18" t="e">
        <v>#DIV/0!</v>
      </c>
      <c r="AE15" s="13">
        <v>0</v>
      </c>
      <c r="AF15" s="14">
        <v>0</v>
      </c>
      <c r="AG15" s="18" t="e">
        <v>#DIV/0!</v>
      </c>
      <c r="AH15" s="13">
        <v>0</v>
      </c>
      <c r="AI15" s="14">
        <v>0</v>
      </c>
      <c r="AJ15" s="17" t="e">
        <f t="shared" si="3"/>
        <v>#DIV/0!</v>
      </c>
      <c r="AK15" s="13">
        <v>0</v>
      </c>
      <c r="AL15" s="14">
        <v>0</v>
      </c>
      <c r="AM15" s="18" t="e">
        <v>#DIV/0!</v>
      </c>
      <c r="AN15" s="13"/>
      <c r="AO15" s="14"/>
      <c r="AP15" s="17" t="e">
        <f t="shared" si="9"/>
        <v>#DIV/0!</v>
      </c>
      <c r="AQ15" s="13">
        <v>0</v>
      </c>
      <c r="AR15" s="14">
        <v>0</v>
      </c>
      <c r="AS15" s="18" t="e">
        <v>#DIV/0!</v>
      </c>
      <c r="AT15" s="13">
        <v>0</v>
      </c>
      <c r="AU15" s="14">
        <v>0</v>
      </c>
      <c r="AV15" s="18" t="e">
        <v>#DIV/0!</v>
      </c>
      <c r="AW15" s="13">
        <v>0</v>
      </c>
      <c r="AX15" s="14">
        <v>0</v>
      </c>
      <c r="AY15" s="18" t="e">
        <v>#DIV/0!</v>
      </c>
      <c r="AZ15" s="13">
        <v>0</v>
      </c>
      <c r="BA15" s="14">
        <v>0</v>
      </c>
      <c r="BB15" s="18" t="e">
        <v>#DIV/0!</v>
      </c>
      <c r="BC15" s="13">
        <v>0</v>
      </c>
      <c r="BD15" s="14">
        <v>0</v>
      </c>
      <c r="BE15" s="18" t="e">
        <v>#DIV/0!</v>
      </c>
      <c r="BF15" s="13">
        <v>0</v>
      </c>
      <c r="BG15" s="14">
        <v>0</v>
      </c>
      <c r="BH15" s="18" t="e">
        <v>#DIV/0!</v>
      </c>
      <c r="BI15" s="13">
        <v>0</v>
      </c>
      <c r="BJ15" s="14">
        <v>0</v>
      </c>
      <c r="BK15" s="17" t="e">
        <f t="shared" si="4"/>
        <v>#DIV/0!</v>
      </c>
      <c r="BL15" s="13">
        <v>0</v>
      </c>
      <c r="BM15" s="14">
        <v>0</v>
      </c>
      <c r="BN15" s="17" t="e">
        <f t="shared" si="5"/>
        <v>#DIV/0!</v>
      </c>
      <c r="BO15" s="13">
        <v>0</v>
      </c>
      <c r="BP15" s="14">
        <v>0</v>
      </c>
      <c r="BQ15" s="17" t="e">
        <f t="shared" si="10"/>
        <v>#DIV/0!</v>
      </c>
      <c r="BR15" s="13">
        <v>0</v>
      </c>
      <c r="BS15" s="14">
        <v>0</v>
      </c>
      <c r="BT15" s="18" t="e">
        <v>#DIV/0!</v>
      </c>
      <c r="BU15" s="13">
        <f t="shared" si="6"/>
        <v>0</v>
      </c>
      <c r="BV15" s="14">
        <f t="shared" si="6"/>
        <v>0</v>
      </c>
      <c r="BW15" s="18" t="e">
        <f t="shared" si="7"/>
        <v>#DIV/0!</v>
      </c>
    </row>
    <row r="16" spans="1:75" ht="15.75" hidden="1" customHeight="1" thickBot="1" x14ac:dyDescent="0.3">
      <c r="A16" s="51"/>
      <c r="B16" s="45"/>
      <c r="C16" s="7">
        <v>4</v>
      </c>
      <c r="D16" s="15">
        <v>0</v>
      </c>
      <c r="E16" s="16">
        <v>0</v>
      </c>
      <c r="F16" s="17" t="e">
        <f t="shared" si="0"/>
        <v>#DIV/0!</v>
      </c>
      <c r="G16" s="15">
        <v>0</v>
      </c>
      <c r="H16" s="16">
        <v>0</v>
      </c>
      <c r="I16" s="19" t="e">
        <v>#DIV/0!</v>
      </c>
      <c r="J16" s="15">
        <v>0</v>
      </c>
      <c r="K16" s="16">
        <v>0</v>
      </c>
      <c r="L16" s="17" t="e">
        <f t="shared" si="8"/>
        <v>#DIV/0!</v>
      </c>
      <c r="M16" s="15">
        <v>0</v>
      </c>
      <c r="N16" s="16">
        <v>0</v>
      </c>
      <c r="O16" s="19" t="e">
        <v>#DIV/0!</v>
      </c>
      <c r="P16" s="15">
        <v>0</v>
      </c>
      <c r="Q16" s="16">
        <v>0</v>
      </c>
      <c r="R16" s="19" t="e">
        <v>#DIV/0!</v>
      </c>
      <c r="S16" s="15">
        <v>0</v>
      </c>
      <c r="T16" s="16">
        <v>0</v>
      </c>
      <c r="U16" s="17" t="e">
        <f t="shared" si="1"/>
        <v>#DIV/0!</v>
      </c>
      <c r="V16" s="15">
        <v>0</v>
      </c>
      <c r="W16" s="16">
        <v>0</v>
      </c>
      <c r="X16" s="17" t="e">
        <f t="shared" si="2"/>
        <v>#DIV/0!</v>
      </c>
      <c r="Y16" s="15">
        <v>0</v>
      </c>
      <c r="Z16" s="16">
        <v>0</v>
      </c>
      <c r="AA16" s="19" t="e">
        <v>#DIV/0!</v>
      </c>
      <c r="AB16" s="15">
        <v>0</v>
      </c>
      <c r="AC16" s="16">
        <v>0</v>
      </c>
      <c r="AD16" s="19" t="e">
        <v>#DIV/0!</v>
      </c>
      <c r="AE16" s="15">
        <v>0</v>
      </c>
      <c r="AF16" s="16">
        <v>0</v>
      </c>
      <c r="AG16" s="19" t="e">
        <v>#DIV/0!</v>
      </c>
      <c r="AH16" s="15">
        <v>0</v>
      </c>
      <c r="AI16" s="16">
        <v>0</v>
      </c>
      <c r="AJ16" s="17" t="e">
        <f t="shared" si="3"/>
        <v>#DIV/0!</v>
      </c>
      <c r="AK16" s="15">
        <v>0</v>
      </c>
      <c r="AL16" s="16">
        <v>0</v>
      </c>
      <c r="AM16" s="19" t="e">
        <v>#DIV/0!</v>
      </c>
      <c r="AN16" s="15"/>
      <c r="AO16" s="16"/>
      <c r="AP16" s="17" t="e">
        <f t="shared" si="9"/>
        <v>#DIV/0!</v>
      </c>
      <c r="AQ16" s="15">
        <v>0</v>
      </c>
      <c r="AR16" s="16">
        <v>0</v>
      </c>
      <c r="AS16" s="19" t="e">
        <v>#DIV/0!</v>
      </c>
      <c r="AT16" s="15">
        <v>0</v>
      </c>
      <c r="AU16" s="16">
        <v>0</v>
      </c>
      <c r="AV16" s="19" t="e">
        <v>#DIV/0!</v>
      </c>
      <c r="AW16" s="15">
        <v>0</v>
      </c>
      <c r="AX16" s="16">
        <v>0</v>
      </c>
      <c r="AY16" s="19" t="e">
        <v>#DIV/0!</v>
      </c>
      <c r="AZ16" s="15">
        <v>0</v>
      </c>
      <c r="BA16" s="16">
        <v>0</v>
      </c>
      <c r="BB16" s="19" t="e">
        <v>#DIV/0!</v>
      </c>
      <c r="BC16" s="15">
        <v>0</v>
      </c>
      <c r="BD16" s="16">
        <v>0</v>
      </c>
      <c r="BE16" s="19" t="e">
        <v>#DIV/0!</v>
      </c>
      <c r="BF16" s="15">
        <v>0</v>
      </c>
      <c r="BG16" s="16">
        <v>0</v>
      </c>
      <c r="BH16" s="19" t="e">
        <v>#DIV/0!</v>
      </c>
      <c r="BI16" s="15">
        <v>0</v>
      </c>
      <c r="BJ16" s="16">
        <v>0</v>
      </c>
      <c r="BK16" s="17" t="e">
        <f t="shared" si="4"/>
        <v>#DIV/0!</v>
      </c>
      <c r="BL16" s="15">
        <v>0</v>
      </c>
      <c r="BM16" s="16">
        <v>0</v>
      </c>
      <c r="BN16" s="17" t="e">
        <f t="shared" si="5"/>
        <v>#DIV/0!</v>
      </c>
      <c r="BO16" s="15">
        <v>0</v>
      </c>
      <c r="BP16" s="16">
        <v>0</v>
      </c>
      <c r="BQ16" s="17" t="e">
        <f t="shared" si="10"/>
        <v>#DIV/0!</v>
      </c>
      <c r="BR16" s="15">
        <v>0</v>
      </c>
      <c r="BS16" s="16">
        <v>0</v>
      </c>
      <c r="BT16" s="19" t="e">
        <v>#DIV/0!</v>
      </c>
      <c r="BU16" s="15">
        <f t="shared" si="6"/>
        <v>0</v>
      </c>
      <c r="BV16" s="16">
        <f t="shared" si="6"/>
        <v>0</v>
      </c>
      <c r="BW16" s="19" t="e">
        <f t="shared" si="7"/>
        <v>#DIV/0!</v>
      </c>
    </row>
    <row r="17" spans="1:75" ht="15.75" thickBot="1" x14ac:dyDescent="0.3">
      <c r="A17" s="51"/>
      <c r="B17" s="44" t="s">
        <v>33</v>
      </c>
      <c r="C17" s="2">
        <v>10</v>
      </c>
      <c r="D17" s="11">
        <v>12</v>
      </c>
      <c r="E17" s="12">
        <v>10</v>
      </c>
      <c r="F17" s="17">
        <f t="shared" si="0"/>
        <v>0.83333333333333337</v>
      </c>
      <c r="G17" s="11">
        <v>0</v>
      </c>
      <c r="H17" s="12">
        <v>0</v>
      </c>
      <c r="I17" s="17" t="e">
        <v>#DIV/0!</v>
      </c>
      <c r="J17" s="11">
        <v>2</v>
      </c>
      <c r="K17" s="12">
        <v>0</v>
      </c>
      <c r="L17" s="17">
        <f t="shared" si="8"/>
        <v>0</v>
      </c>
      <c r="M17" s="11">
        <v>0</v>
      </c>
      <c r="N17" s="12">
        <v>0</v>
      </c>
      <c r="O17" s="17" t="e">
        <v>#DIV/0!</v>
      </c>
      <c r="P17" s="11">
        <v>0</v>
      </c>
      <c r="Q17" s="12">
        <v>0</v>
      </c>
      <c r="R17" s="17" t="e">
        <v>#DIV/0!</v>
      </c>
      <c r="S17" s="11">
        <v>2</v>
      </c>
      <c r="T17" s="12">
        <v>0</v>
      </c>
      <c r="U17" s="17">
        <f t="shared" si="1"/>
        <v>0</v>
      </c>
      <c r="V17" s="11">
        <v>3</v>
      </c>
      <c r="W17" s="12">
        <v>0</v>
      </c>
      <c r="X17" s="17">
        <f t="shared" si="2"/>
        <v>0</v>
      </c>
      <c r="Y17" s="11">
        <v>0</v>
      </c>
      <c r="Z17" s="12">
        <v>0</v>
      </c>
      <c r="AA17" s="17" t="e">
        <v>#DIV/0!</v>
      </c>
      <c r="AB17" s="11">
        <v>0</v>
      </c>
      <c r="AC17" s="12">
        <v>0</v>
      </c>
      <c r="AD17" s="17" t="e">
        <v>#DIV/0!</v>
      </c>
      <c r="AE17" s="11">
        <v>0</v>
      </c>
      <c r="AF17" s="12">
        <v>0</v>
      </c>
      <c r="AG17" s="17" t="e">
        <v>#DIV/0!</v>
      </c>
      <c r="AH17" s="11">
        <v>34</v>
      </c>
      <c r="AI17" s="12">
        <v>32</v>
      </c>
      <c r="AJ17" s="17">
        <f t="shared" si="3"/>
        <v>0.94117647058823528</v>
      </c>
      <c r="AK17" s="11">
        <v>0</v>
      </c>
      <c r="AL17" s="12">
        <v>0</v>
      </c>
      <c r="AM17" s="17" t="e">
        <v>#DIV/0!</v>
      </c>
      <c r="AN17" s="11"/>
      <c r="AO17" s="12"/>
      <c r="AP17" s="17" t="e">
        <f t="shared" si="9"/>
        <v>#DIV/0!</v>
      </c>
      <c r="AQ17" s="11">
        <v>0</v>
      </c>
      <c r="AR17" s="12">
        <v>0</v>
      </c>
      <c r="AS17" s="17" t="e">
        <v>#DIV/0!</v>
      </c>
      <c r="AT17" s="11">
        <v>0</v>
      </c>
      <c r="AU17" s="12">
        <v>0</v>
      </c>
      <c r="AV17" s="17" t="e">
        <v>#DIV/0!</v>
      </c>
      <c r="AW17" s="11">
        <v>0</v>
      </c>
      <c r="AX17" s="12">
        <v>0</v>
      </c>
      <c r="AY17" s="17" t="e">
        <v>#DIV/0!</v>
      </c>
      <c r="AZ17" s="11">
        <v>0</v>
      </c>
      <c r="BA17" s="12">
        <v>0</v>
      </c>
      <c r="BB17" s="17" t="e">
        <v>#DIV/0!</v>
      </c>
      <c r="BC17" s="11">
        <v>0</v>
      </c>
      <c r="BD17" s="12">
        <v>0</v>
      </c>
      <c r="BE17" s="17" t="e">
        <v>#DIV/0!</v>
      </c>
      <c r="BF17" s="11">
        <v>0</v>
      </c>
      <c r="BG17" s="12">
        <v>0</v>
      </c>
      <c r="BH17" s="17" t="e">
        <v>#DIV/0!</v>
      </c>
      <c r="BI17" s="11">
        <v>36</v>
      </c>
      <c r="BJ17" s="12">
        <v>30</v>
      </c>
      <c r="BK17" s="17">
        <f t="shared" si="4"/>
        <v>0.83333333333333337</v>
      </c>
      <c r="BL17" s="11">
        <v>4</v>
      </c>
      <c r="BM17" s="12">
        <v>0</v>
      </c>
      <c r="BN17" s="17">
        <f t="shared" si="5"/>
        <v>0</v>
      </c>
      <c r="BO17" s="11">
        <v>9</v>
      </c>
      <c r="BP17" s="12">
        <v>0</v>
      </c>
      <c r="BQ17" s="17">
        <f t="shared" si="10"/>
        <v>0</v>
      </c>
      <c r="BR17" s="11">
        <v>0</v>
      </c>
      <c r="BS17" s="12">
        <v>0</v>
      </c>
      <c r="BT17" s="17" t="e">
        <v>#DIV/0!</v>
      </c>
      <c r="BU17" s="11">
        <f t="shared" si="6"/>
        <v>102</v>
      </c>
      <c r="BV17" s="12">
        <f t="shared" si="6"/>
        <v>72</v>
      </c>
      <c r="BW17" s="17">
        <f t="shared" si="7"/>
        <v>0.70588235294117652</v>
      </c>
    </row>
    <row r="18" spans="1:75" ht="15.75" hidden="1" customHeight="1" thickBot="1" x14ac:dyDescent="0.3">
      <c r="A18" s="51"/>
      <c r="B18" s="53"/>
      <c r="C18" s="3">
        <v>12</v>
      </c>
      <c r="D18" s="13">
        <v>0</v>
      </c>
      <c r="E18" s="14">
        <v>0</v>
      </c>
      <c r="F18" s="17" t="e">
        <f t="shared" si="0"/>
        <v>#DIV/0!</v>
      </c>
      <c r="G18" s="13">
        <v>0</v>
      </c>
      <c r="H18" s="14">
        <v>0</v>
      </c>
      <c r="I18" s="18" t="e">
        <v>#DIV/0!</v>
      </c>
      <c r="J18" s="13">
        <v>0</v>
      </c>
      <c r="K18" s="14">
        <v>0</v>
      </c>
      <c r="L18" s="17" t="e">
        <f t="shared" si="8"/>
        <v>#DIV/0!</v>
      </c>
      <c r="M18" s="13">
        <v>0</v>
      </c>
      <c r="N18" s="14">
        <v>0</v>
      </c>
      <c r="O18" s="18" t="e">
        <v>#DIV/0!</v>
      </c>
      <c r="P18" s="13">
        <v>0</v>
      </c>
      <c r="Q18" s="14">
        <v>0</v>
      </c>
      <c r="R18" s="18" t="e">
        <v>#DIV/0!</v>
      </c>
      <c r="S18" s="13">
        <v>0</v>
      </c>
      <c r="T18" s="14">
        <v>0</v>
      </c>
      <c r="U18" s="17" t="e">
        <f t="shared" si="1"/>
        <v>#DIV/0!</v>
      </c>
      <c r="V18" s="13">
        <v>0</v>
      </c>
      <c r="W18" s="14">
        <v>0</v>
      </c>
      <c r="X18" s="17" t="e">
        <f t="shared" si="2"/>
        <v>#DIV/0!</v>
      </c>
      <c r="Y18" s="13">
        <v>0</v>
      </c>
      <c r="Z18" s="14">
        <v>0</v>
      </c>
      <c r="AA18" s="18" t="e">
        <v>#DIV/0!</v>
      </c>
      <c r="AB18" s="13">
        <v>0</v>
      </c>
      <c r="AC18" s="14">
        <v>0</v>
      </c>
      <c r="AD18" s="18" t="e">
        <v>#DIV/0!</v>
      </c>
      <c r="AE18" s="13">
        <v>0</v>
      </c>
      <c r="AF18" s="14">
        <v>0</v>
      </c>
      <c r="AG18" s="18" t="e">
        <v>#DIV/0!</v>
      </c>
      <c r="AH18" s="13">
        <v>0</v>
      </c>
      <c r="AI18" s="14">
        <v>0</v>
      </c>
      <c r="AJ18" s="17" t="e">
        <f t="shared" si="3"/>
        <v>#DIV/0!</v>
      </c>
      <c r="AK18" s="13">
        <v>0</v>
      </c>
      <c r="AL18" s="14">
        <v>0</v>
      </c>
      <c r="AM18" s="18" t="e">
        <v>#DIV/0!</v>
      </c>
      <c r="AN18" s="13"/>
      <c r="AO18" s="14"/>
      <c r="AP18" s="17" t="e">
        <f t="shared" si="9"/>
        <v>#DIV/0!</v>
      </c>
      <c r="AQ18" s="13">
        <v>0</v>
      </c>
      <c r="AR18" s="14">
        <v>0</v>
      </c>
      <c r="AS18" s="18" t="e">
        <v>#DIV/0!</v>
      </c>
      <c r="AT18" s="13">
        <v>0</v>
      </c>
      <c r="AU18" s="14">
        <v>0</v>
      </c>
      <c r="AV18" s="18" t="e">
        <v>#DIV/0!</v>
      </c>
      <c r="AW18" s="13">
        <v>0</v>
      </c>
      <c r="AX18" s="14">
        <v>0</v>
      </c>
      <c r="AY18" s="18" t="e">
        <v>#DIV/0!</v>
      </c>
      <c r="AZ18" s="13">
        <v>0</v>
      </c>
      <c r="BA18" s="14">
        <v>0</v>
      </c>
      <c r="BB18" s="18" t="e">
        <v>#DIV/0!</v>
      </c>
      <c r="BC18" s="13">
        <v>0</v>
      </c>
      <c r="BD18" s="14">
        <v>0</v>
      </c>
      <c r="BE18" s="18" t="e">
        <v>#DIV/0!</v>
      </c>
      <c r="BF18" s="13">
        <v>0</v>
      </c>
      <c r="BG18" s="14">
        <v>0</v>
      </c>
      <c r="BH18" s="18" t="e">
        <v>#DIV/0!</v>
      </c>
      <c r="BI18" s="13">
        <v>0</v>
      </c>
      <c r="BJ18" s="14">
        <v>0</v>
      </c>
      <c r="BK18" s="17" t="e">
        <f t="shared" si="4"/>
        <v>#DIV/0!</v>
      </c>
      <c r="BL18" s="13">
        <v>0</v>
      </c>
      <c r="BM18" s="14">
        <v>0</v>
      </c>
      <c r="BN18" s="17" t="e">
        <f t="shared" si="5"/>
        <v>#DIV/0!</v>
      </c>
      <c r="BO18" s="13">
        <v>0</v>
      </c>
      <c r="BP18" s="14">
        <v>0</v>
      </c>
      <c r="BQ18" s="17" t="e">
        <f t="shared" si="10"/>
        <v>#DIV/0!</v>
      </c>
      <c r="BR18" s="13">
        <v>0</v>
      </c>
      <c r="BS18" s="14">
        <v>0</v>
      </c>
      <c r="BT18" s="18" t="e">
        <v>#DIV/0!</v>
      </c>
      <c r="BU18" s="13">
        <f t="shared" si="6"/>
        <v>0</v>
      </c>
      <c r="BV18" s="14">
        <f t="shared" si="6"/>
        <v>0</v>
      </c>
      <c r="BW18" s="18" t="e">
        <f t="shared" si="7"/>
        <v>#DIV/0!</v>
      </c>
    </row>
    <row r="19" spans="1:75" ht="15.75" hidden="1" customHeight="1" thickBot="1" x14ac:dyDescent="0.3">
      <c r="A19" s="51"/>
      <c r="B19" s="53"/>
      <c r="C19" s="3">
        <v>13</v>
      </c>
      <c r="D19" s="13">
        <v>0</v>
      </c>
      <c r="E19" s="14">
        <v>0</v>
      </c>
      <c r="F19" s="17" t="e">
        <f t="shared" si="0"/>
        <v>#DIV/0!</v>
      </c>
      <c r="G19" s="13">
        <v>0</v>
      </c>
      <c r="H19" s="14">
        <v>0</v>
      </c>
      <c r="I19" s="18" t="e">
        <v>#DIV/0!</v>
      </c>
      <c r="J19" s="13">
        <v>0</v>
      </c>
      <c r="K19" s="14">
        <v>0</v>
      </c>
      <c r="L19" s="17" t="e">
        <f t="shared" si="8"/>
        <v>#DIV/0!</v>
      </c>
      <c r="M19" s="13">
        <v>0</v>
      </c>
      <c r="N19" s="14">
        <v>0</v>
      </c>
      <c r="O19" s="18" t="e">
        <v>#DIV/0!</v>
      </c>
      <c r="P19" s="13">
        <v>0</v>
      </c>
      <c r="Q19" s="14">
        <v>0</v>
      </c>
      <c r="R19" s="18" t="e">
        <v>#DIV/0!</v>
      </c>
      <c r="S19" s="13">
        <v>0</v>
      </c>
      <c r="T19" s="14">
        <v>0</v>
      </c>
      <c r="U19" s="17" t="e">
        <f t="shared" si="1"/>
        <v>#DIV/0!</v>
      </c>
      <c r="V19" s="13">
        <v>0</v>
      </c>
      <c r="W19" s="14">
        <v>0</v>
      </c>
      <c r="X19" s="17" t="e">
        <f t="shared" si="2"/>
        <v>#DIV/0!</v>
      </c>
      <c r="Y19" s="13">
        <v>0</v>
      </c>
      <c r="Z19" s="14">
        <v>0</v>
      </c>
      <c r="AA19" s="18" t="e">
        <v>#DIV/0!</v>
      </c>
      <c r="AB19" s="13">
        <v>0</v>
      </c>
      <c r="AC19" s="14">
        <v>0</v>
      </c>
      <c r="AD19" s="18" t="e">
        <v>#DIV/0!</v>
      </c>
      <c r="AE19" s="13">
        <v>0</v>
      </c>
      <c r="AF19" s="14">
        <v>0</v>
      </c>
      <c r="AG19" s="18" t="e">
        <v>#DIV/0!</v>
      </c>
      <c r="AH19" s="13">
        <v>0</v>
      </c>
      <c r="AI19" s="14">
        <v>0</v>
      </c>
      <c r="AJ19" s="17" t="e">
        <f t="shared" si="3"/>
        <v>#DIV/0!</v>
      </c>
      <c r="AK19" s="13">
        <v>0</v>
      </c>
      <c r="AL19" s="14">
        <v>0</v>
      </c>
      <c r="AM19" s="18" t="e">
        <v>#DIV/0!</v>
      </c>
      <c r="AN19" s="13"/>
      <c r="AO19" s="14"/>
      <c r="AP19" s="17" t="e">
        <f t="shared" si="9"/>
        <v>#DIV/0!</v>
      </c>
      <c r="AQ19" s="13">
        <v>0</v>
      </c>
      <c r="AR19" s="14">
        <v>0</v>
      </c>
      <c r="AS19" s="18" t="e">
        <v>#DIV/0!</v>
      </c>
      <c r="AT19" s="13">
        <v>0</v>
      </c>
      <c r="AU19" s="14">
        <v>0</v>
      </c>
      <c r="AV19" s="18" t="e">
        <v>#DIV/0!</v>
      </c>
      <c r="AW19" s="13">
        <v>0</v>
      </c>
      <c r="AX19" s="14">
        <v>0</v>
      </c>
      <c r="AY19" s="18" t="e">
        <v>#DIV/0!</v>
      </c>
      <c r="AZ19" s="13">
        <v>0</v>
      </c>
      <c r="BA19" s="14">
        <v>0</v>
      </c>
      <c r="BB19" s="18" t="e">
        <v>#DIV/0!</v>
      </c>
      <c r="BC19" s="13">
        <v>0</v>
      </c>
      <c r="BD19" s="14">
        <v>0</v>
      </c>
      <c r="BE19" s="18" t="e">
        <v>#DIV/0!</v>
      </c>
      <c r="BF19" s="13">
        <v>0</v>
      </c>
      <c r="BG19" s="14">
        <v>0</v>
      </c>
      <c r="BH19" s="18" t="e">
        <v>#DIV/0!</v>
      </c>
      <c r="BI19" s="13">
        <v>0</v>
      </c>
      <c r="BJ19" s="14">
        <v>0</v>
      </c>
      <c r="BK19" s="17" t="e">
        <f t="shared" si="4"/>
        <v>#DIV/0!</v>
      </c>
      <c r="BL19" s="13">
        <v>0</v>
      </c>
      <c r="BM19" s="14">
        <v>0</v>
      </c>
      <c r="BN19" s="17" t="e">
        <f t="shared" si="5"/>
        <v>#DIV/0!</v>
      </c>
      <c r="BO19" s="13">
        <v>0</v>
      </c>
      <c r="BP19" s="14">
        <v>0</v>
      </c>
      <c r="BQ19" s="17" t="e">
        <f t="shared" si="10"/>
        <v>#DIV/0!</v>
      </c>
      <c r="BR19" s="13">
        <v>0</v>
      </c>
      <c r="BS19" s="14">
        <v>0</v>
      </c>
      <c r="BT19" s="18" t="e">
        <v>#DIV/0!</v>
      </c>
      <c r="BU19" s="13">
        <f t="shared" si="6"/>
        <v>0</v>
      </c>
      <c r="BV19" s="14">
        <f t="shared" si="6"/>
        <v>0</v>
      </c>
      <c r="BW19" s="18" t="e">
        <f t="shared" si="7"/>
        <v>#DIV/0!</v>
      </c>
    </row>
    <row r="20" spans="1:75" ht="15.75" hidden="1" customHeight="1" thickBot="1" x14ac:dyDescent="0.3">
      <c r="A20" s="51"/>
      <c r="B20" s="45"/>
      <c r="C20" s="4">
        <v>14</v>
      </c>
      <c r="D20" s="15">
        <v>0</v>
      </c>
      <c r="E20" s="16">
        <v>0</v>
      </c>
      <c r="F20" s="17" t="e">
        <f t="shared" si="0"/>
        <v>#DIV/0!</v>
      </c>
      <c r="G20" s="15">
        <v>0</v>
      </c>
      <c r="H20" s="16">
        <v>0</v>
      </c>
      <c r="I20" s="19" t="e">
        <v>#DIV/0!</v>
      </c>
      <c r="J20" s="15">
        <v>0</v>
      </c>
      <c r="K20" s="16">
        <v>0</v>
      </c>
      <c r="L20" s="17" t="e">
        <f t="shared" si="8"/>
        <v>#DIV/0!</v>
      </c>
      <c r="M20" s="15">
        <v>0</v>
      </c>
      <c r="N20" s="16">
        <v>0</v>
      </c>
      <c r="O20" s="19" t="e">
        <v>#DIV/0!</v>
      </c>
      <c r="P20" s="15">
        <v>0</v>
      </c>
      <c r="Q20" s="16">
        <v>0</v>
      </c>
      <c r="R20" s="19" t="e">
        <v>#DIV/0!</v>
      </c>
      <c r="S20" s="15">
        <v>0</v>
      </c>
      <c r="T20" s="16">
        <v>0</v>
      </c>
      <c r="U20" s="17" t="e">
        <f t="shared" si="1"/>
        <v>#DIV/0!</v>
      </c>
      <c r="V20" s="15">
        <v>0</v>
      </c>
      <c r="W20" s="16">
        <v>0</v>
      </c>
      <c r="X20" s="17" t="e">
        <f t="shared" si="2"/>
        <v>#DIV/0!</v>
      </c>
      <c r="Y20" s="15">
        <v>0</v>
      </c>
      <c r="Z20" s="16">
        <v>0</v>
      </c>
      <c r="AA20" s="19" t="e">
        <v>#DIV/0!</v>
      </c>
      <c r="AB20" s="15">
        <v>0</v>
      </c>
      <c r="AC20" s="16">
        <v>0</v>
      </c>
      <c r="AD20" s="19" t="e">
        <v>#DIV/0!</v>
      </c>
      <c r="AE20" s="15">
        <v>0</v>
      </c>
      <c r="AF20" s="16">
        <v>0</v>
      </c>
      <c r="AG20" s="19" t="e">
        <v>#DIV/0!</v>
      </c>
      <c r="AH20" s="15">
        <v>0</v>
      </c>
      <c r="AI20" s="16">
        <v>0</v>
      </c>
      <c r="AJ20" s="17" t="e">
        <f t="shared" si="3"/>
        <v>#DIV/0!</v>
      </c>
      <c r="AK20" s="15">
        <v>0</v>
      </c>
      <c r="AL20" s="16">
        <v>0</v>
      </c>
      <c r="AM20" s="19" t="e">
        <v>#DIV/0!</v>
      </c>
      <c r="AN20" s="15"/>
      <c r="AO20" s="16"/>
      <c r="AP20" s="17" t="e">
        <f t="shared" si="9"/>
        <v>#DIV/0!</v>
      </c>
      <c r="AQ20" s="15">
        <v>0</v>
      </c>
      <c r="AR20" s="16">
        <v>0</v>
      </c>
      <c r="AS20" s="19" t="e">
        <v>#DIV/0!</v>
      </c>
      <c r="AT20" s="15">
        <v>0</v>
      </c>
      <c r="AU20" s="16">
        <v>0</v>
      </c>
      <c r="AV20" s="19" t="e">
        <v>#DIV/0!</v>
      </c>
      <c r="AW20" s="15">
        <v>0</v>
      </c>
      <c r="AX20" s="16">
        <v>0</v>
      </c>
      <c r="AY20" s="19" t="e">
        <v>#DIV/0!</v>
      </c>
      <c r="AZ20" s="15">
        <v>0</v>
      </c>
      <c r="BA20" s="16">
        <v>0</v>
      </c>
      <c r="BB20" s="19" t="e">
        <v>#DIV/0!</v>
      </c>
      <c r="BC20" s="15">
        <v>0</v>
      </c>
      <c r="BD20" s="16">
        <v>0</v>
      </c>
      <c r="BE20" s="19" t="e">
        <v>#DIV/0!</v>
      </c>
      <c r="BF20" s="15">
        <v>0</v>
      </c>
      <c r="BG20" s="16">
        <v>0</v>
      </c>
      <c r="BH20" s="19" t="e">
        <v>#DIV/0!</v>
      </c>
      <c r="BI20" s="15">
        <v>0</v>
      </c>
      <c r="BJ20" s="16">
        <v>0</v>
      </c>
      <c r="BK20" s="17" t="e">
        <f t="shared" si="4"/>
        <v>#DIV/0!</v>
      </c>
      <c r="BL20" s="15">
        <v>0</v>
      </c>
      <c r="BM20" s="16">
        <v>0</v>
      </c>
      <c r="BN20" s="17" t="e">
        <f t="shared" si="5"/>
        <v>#DIV/0!</v>
      </c>
      <c r="BO20" s="15">
        <v>0</v>
      </c>
      <c r="BP20" s="16">
        <v>0</v>
      </c>
      <c r="BQ20" s="17" t="e">
        <f t="shared" si="10"/>
        <v>#DIV/0!</v>
      </c>
      <c r="BR20" s="15">
        <v>0</v>
      </c>
      <c r="BS20" s="16">
        <v>0</v>
      </c>
      <c r="BT20" s="19" t="e">
        <v>#DIV/0!</v>
      </c>
      <c r="BU20" s="15">
        <f t="shared" si="6"/>
        <v>0</v>
      </c>
      <c r="BV20" s="16">
        <f t="shared" si="6"/>
        <v>0</v>
      </c>
      <c r="BW20" s="19" t="e">
        <f t="shared" si="7"/>
        <v>#DIV/0!</v>
      </c>
    </row>
    <row r="21" spans="1:75" x14ac:dyDescent="0.25">
      <c r="A21" s="51"/>
      <c r="B21" s="44" t="s">
        <v>34</v>
      </c>
      <c r="C21" s="2">
        <v>21</v>
      </c>
      <c r="D21" s="11">
        <v>12</v>
      </c>
      <c r="E21" s="12">
        <v>0</v>
      </c>
      <c r="F21" s="17">
        <f t="shared" si="0"/>
        <v>0</v>
      </c>
      <c r="G21" s="11">
        <v>0</v>
      </c>
      <c r="H21" s="12">
        <v>0</v>
      </c>
      <c r="I21" s="17" t="e">
        <v>#DIV/0!</v>
      </c>
      <c r="J21" s="11">
        <v>4</v>
      </c>
      <c r="K21" s="12">
        <v>0</v>
      </c>
      <c r="L21" s="17">
        <f t="shared" si="8"/>
        <v>0</v>
      </c>
      <c r="M21" s="11">
        <v>0</v>
      </c>
      <c r="N21" s="12">
        <v>0</v>
      </c>
      <c r="O21" s="17" t="e">
        <v>#DIV/0!</v>
      </c>
      <c r="P21" s="11">
        <v>0</v>
      </c>
      <c r="Q21" s="12">
        <v>0</v>
      </c>
      <c r="R21" s="17" t="e">
        <v>#DIV/0!</v>
      </c>
      <c r="S21" s="11">
        <v>2</v>
      </c>
      <c r="T21" s="12">
        <v>0</v>
      </c>
      <c r="U21" s="17">
        <f t="shared" si="1"/>
        <v>0</v>
      </c>
      <c r="V21" s="11">
        <v>2</v>
      </c>
      <c r="W21" s="12">
        <v>0</v>
      </c>
      <c r="X21" s="17">
        <f t="shared" si="2"/>
        <v>0</v>
      </c>
      <c r="Y21" s="11">
        <v>0</v>
      </c>
      <c r="Z21" s="12">
        <v>0</v>
      </c>
      <c r="AA21" s="17" t="e">
        <v>#DIV/0!</v>
      </c>
      <c r="AB21" s="11">
        <v>0</v>
      </c>
      <c r="AC21" s="12">
        <v>0</v>
      </c>
      <c r="AD21" s="17" t="e">
        <v>#DIV/0!</v>
      </c>
      <c r="AE21" s="11">
        <v>0</v>
      </c>
      <c r="AF21" s="12">
        <v>0</v>
      </c>
      <c r="AG21" s="17" t="e">
        <v>#DIV/0!</v>
      </c>
      <c r="AH21" s="11">
        <v>34</v>
      </c>
      <c r="AI21" s="12">
        <v>0</v>
      </c>
      <c r="AJ21" s="17">
        <f t="shared" si="3"/>
        <v>0</v>
      </c>
      <c r="AK21" s="11">
        <v>0</v>
      </c>
      <c r="AL21" s="12">
        <v>0</v>
      </c>
      <c r="AM21" s="17" t="e">
        <v>#DIV/0!</v>
      </c>
      <c r="AN21" s="11"/>
      <c r="AO21" s="12"/>
      <c r="AP21" s="17" t="e">
        <f t="shared" si="9"/>
        <v>#DIV/0!</v>
      </c>
      <c r="AQ21" s="11">
        <v>0</v>
      </c>
      <c r="AR21" s="12">
        <v>0</v>
      </c>
      <c r="AS21" s="17" t="e">
        <v>#DIV/0!</v>
      </c>
      <c r="AT21" s="11">
        <v>0</v>
      </c>
      <c r="AU21" s="12">
        <v>0</v>
      </c>
      <c r="AV21" s="17" t="e">
        <v>#DIV/0!</v>
      </c>
      <c r="AW21" s="11">
        <v>0</v>
      </c>
      <c r="AX21" s="12">
        <v>0</v>
      </c>
      <c r="AY21" s="17" t="e">
        <v>#DIV/0!</v>
      </c>
      <c r="AZ21" s="11">
        <v>0</v>
      </c>
      <c r="BA21" s="12">
        <v>0</v>
      </c>
      <c r="BB21" s="17" t="e">
        <v>#DIV/0!</v>
      </c>
      <c r="BC21" s="11">
        <v>0</v>
      </c>
      <c r="BD21" s="12">
        <v>0</v>
      </c>
      <c r="BE21" s="17" t="e">
        <v>#DIV/0!</v>
      </c>
      <c r="BF21" s="11">
        <v>0</v>
      </c>
      <c r="BG21" s="12">
        <v>0</v>
      </c>
      <c r="BH21" s="17" t="e">
        <v>#DIV/0!</v>
      </c>
      <c r="BI21" s="11">
        <v>40</v>
      </c>
      <c r="BJ21" s="12">
        <v>0</v>
      </c>
      <c r="BK21" s="17">
        <f t="shared" si="4"/>
        <v>0</v>
      </c>
      <c r="BL21" s="11">
        <v>4</v>
      </c>
      <c r="BM21" s="12">
        <v>0</v>
      </c>
      <c r="BN21" s="17">
        <f t="shared" si="5"/>
        <v>0</v>
      </c>
      <c r="BO21" s="11">
        <v>8</v>
      </c>
      <c r="BP21" s="12">
        <v>0</v>
      </c>
      <c r="BQ21" s="17">
        <f t="shared" si="10"/>
        <v>0</v>
      </c>
      <c r="BR21" s="11">
        <v>0</v>
      </c>
      <c r="BS21" s="12">
        <v>0</v>
      </c>
      <c r="BT21" s="17" t="e">
        <v>#DIV/0!</v>
      </c>
      <c r="BU21" s="11">
        <f t="shared" si="6"/>
        <v>106</v>
      </c>
      <c r="BV21" s="12">
        <f t="shared" si="6"/>
        <v>0</v>
      </c>
      <c r="BW21" s="17">
        <f t="shared" si="7"/>
        <v>0</v>
      </c>
    </row>
    <row r="22" spans="1:75" ht="15" hidden="1" customHeight="1" x14ac:dyDescent="0.25">
      <c r="A22" s="51"/>
      <c r="B22" s="53"/>
      <c r="C22" s="3">
        <v>22</v>
      </c>
      <c r="D22" s="13">
        <v>0</v>
      </c>
      <c r="E22" s="14">
        <v>0</v>
      </c>
      <c r="F22" s="18" t="e">
        <v>#DIV/0!</v>
      </c>
      <c r="G22" s="13">
        <v>0</v>
      </c>
      <c r="H22" s="14">
        <v>0</v>
      </c>
      <c r="I22" s="18" t="e">
        <v>#DIV/0!</v>
      </c>
      <c r="J22" s="13">
        <v>0</v>
      </c>
      <c r="K22" s="14">
        <v>0</v>
      </c>
      <c r="L22" s="18" t="e">
        <v>#DIV/0!</v>
      </c>
      <c r="M22" s="13">
        <v>0</v>
      </c>
      <c r="N22" s="14">
        <v>0</v>
      </c>
      <c r="O22" s="18" t="e">
        <v>#DIV/0!</v>
      </c>
      <c r="P22" s="13">
        <v>0</v>
      </c>
      <c r="Q22" s="14">
        <v>0</v>
      </c>
      <c r="R22" s="18" t="e">
        <v>#DIV/0!</v>
      </c>
      <c r="S22" s="13">
        <v>0</v>
      </c>
      <c r="T22" s="14">
        <v>0</v>
      </c>
      <c r="U22" s="18" t="e">
        <v>#DIV/0!</v>
      </c>
      <c r="V22" s="13">
        <v>0</v>
      </c>
      <c r="W22" s="14">
        <v>0</v>
      </c>
      <c r="X22" s="18" t="e">
        <v>#DIV/0!</v>
      </c>
      <c r="Y22" s="13">
        <v>0</v>
      </c>
      <c r="Z22" s="14">
        <v>0</v>
      </c>
      <c r="AA22" s="18" t="e">
        <v>#DIV/0!</v>
      </c>
      <c r="AB22" s="13">
        <v>0</v>
      </c>
      <c r="AC22" s="14">
        <v>0</v>
      </c>
      <c r="AD22" s="18" t="e">
        <v>#DIV/0!</v>
      </c>
      <c r="AE22" s="13">
        <v>0</v>
      </c>
      <c r="AF22" s="14">
        <v>0</v>
      </c>
      <c r="AG22" s="18" t="e">
        <v>#DIV/0!</v>
      </c>
      <c r="AH22" s="13">
        <v>0</v>
      </c>
      <c r="AI22" s="14">
        <v>0</v>
      </c>
      <c r="AJ22" s="18" t="e">
        <v>#DIV/0!</v>
      </c>
      <c r="AK22" s="13">
        <v>0</v>
      </c>
      <c r="AL22" s="14">
        <v>0</v>
      </c>
      <c r="AM22" s="18" t="e">
        <v>#DIV/0!</v>
      </c>
      <c r="AN22" s="13">
        <v>0</v>
      </c>
      <c r="AO22" s="14">
        <v>0</v>
      </c>
      <c r="AP22" s="18" t="e">
        <v>#DIV/0!</v>
      </c>
      <c r="AQ22" s="13">
        <v>0</v>
      </c>
      <c r="AR22" s="14">
        <v>0</v>
      </c>
      <c r="AS22" s="18" t="e">
        <v>#DIV/0!</v>
      </c>
      <c r="AT22" s="13">
        <v>0</v>
      </c>
      <c r="AU22" s="14">
        <v>0</v>
      </c>
      <c r="AV22" s="18" t="e">
        <v>#DIV/0!</v>
      </c>
      <c r="AW22" s="13">
        <v>0</v>
      </c>
      <c r="AX22" s="14">
        <v>0</v>
      </c>
      <c r="AY22" s="18" t="e">
        <v>#DIV/0!</v>
      </c>
      <c r="AZ22" s="13">
        <v>0</v>
      </c>
      <c r="BA22" s="14">
        <v>0</v>
      </c>
      <c r="BB22" s="18" t="e">
        <v>#DIV/0!</v>
      </c>
      <c r="BC22" s="13">
        <v>0</v>
      </c>
      <c r="BD22" s="14">
        <v>0</v>
      </c>
      <c r="BE22" s="18" t="e">
        <v>#DIV/0!</v>
      </c>
      <c r="BF22" s="13">
        <v>0</v>
      </c>
      <c r="BG22" s="14">
        <v>0</v>
      </c>
      <c r="BH22" s="18" t="e">
        <v>#DIV/0!</v>
      </c>
      <c r="BI22" s="13">
        <v>0</v>
      </c>
      <c r="BJ22" s="14">
        <v>0</v>
      </c>
      <c r="BK22" s="18" t="e">
        <v>#DIV/0!</v>
      </c>
      <c r="BL22" s="13">
        <v>0</v>
      </c>
      <c r="BM22" s="14">
        <v>0</v>
      </c>
      <c r="BN22" s="18" t="e">
        <v>#DIV/0!</v>
      </c>
      <c r="BO22" s="13">
        <v>0</v>
      </c>
      <c r="BP22" s="14">
        <v>0</v>
      </c>
      <c r="BQ22" s="18" t="e">
        <v>#DIV/0!</v>
      </c>
      <c r="BR22" s="13">
        <v>0</v>
      </c>
      <c r="BS22" s="14">
        <v>0</v>
      </c>
      <c r="BT22" s="18" t="e">
        <v>#DIV/0!</v>
      </c>
      <c r="BU22" s="13">
        <f t="shared" si="6"/>
        <v>0</v>
      </c>
      <c r="BV22" s="14">
        <f t="shared" si="6"/>
        <v>0</v>
      </c>
      <c r="BW22" s="18" t="e">
        <f t="shared" si="7"/>
        <v>#DIV/0!</v>
      </c>
    </row>
    <row r="23" spans="1:75" ht="15" hidden="1" customHeight="1" x14ac:dyDescent="0.25">
      <c r="A23" s="51"/>
      <c r="B23" s="53"/>
      <c r="C23" s="3">
        <v>23</v>
      </c>
      <c r="D23" s="13">
        <v>0</v>
      </c>
      <c r="E23" s="14">
        <v>0</v>
      </c>
      <c r="F23" s="18" t="e">
        <v>#DIV/0!</v>
      </c>
      <c r="G23" s="13">
        <v>0</v>
      </c>
      <c r="H23" s="14">
        <v>0</v>
      </c>
      <c r="I23" s="18" t="e">
        <v>#DIV/0!</v>
      </c>
      <c r="J23" s="13">
        <v>0</v>
      </c>
      <c r="K23" s="14">
        <v>0</v>
      </c>
      <c r="L23" s="18" t="e">
        <v>#DIV/0!</v>
      </c>
      <c r="M23" s="13">
        <v>0</v>
      </c>
      <c r="N23" s="14">
        <v>0</v>
      </c>
      <c r="O23" s="18" t="e">
        <v>#DIV/0!</v>
      </c>
      <c r="P23" s="13">
        <v>0</v>
      </c>
      <c r="Q23" s="14">
        <v>0</v>
      </c>
      <c r="R23" s="18" t="e">
        <v>#DIV/0!</v>
      </c>
      <c r="S23" s="13">
        <v>0</v>
      </c>
      <c r="T23" s="14">
        <v>0</v>
      </c>
      <c r="U23" s="18" t="e">
        <v>#DIV/0!</v>
      </c>
      <c r="V23" s="13">
        <v>0</v>
      </c>
      <c r="W23" s="14">
        <v>0</v>
      </c>
      <c r="X23" s="18" t="e">
        <v>#DIV/0!</v>
      </c>
      <c r="Y23" s="13">
        <v>0</v>
      </c>
      <c r="Z23" s="14">
        <v>0</v>
      </c>
      <c r="AA23" s="18" t="e">
        <v>#DIV/0!</v>
      </c>
      <c r="AB23" s="13">
        <v>0</v>
      </c>
      <c r="AC23" s="14">
        <v>0</v>
      </c>
      <c r="AD23" s="18" t="e">
        <v>#DIV/0!</v>
      </c>
      <c r="AE23" s="13">
        <v>0</v>
      </c>
      <c r="AF23" s="14">
        <v>0</v>
      </c>
      <c r="AG23" s="18" t="e">
        <v>#DIV/0!</v>
      </c>
      <c r="AH23" s="13">
        <v>0</v>
      </c>
      <c r="AI23" s="14">
        <v>0</v>
      </c>
      <c r="AJ23" s="18" t="e">
        <v>#DIV/0!</v>
      </c>
      <c r="AK23" s="13">
        <v>0</v>
      </c>
      <c r="AL23" s="14">
        <v>0</v>
      </c>
      <c r="AM23" s="18" t="e">
        <v>#DIV/0!</v>
      </c>
      <c r="AN23" s="13">
        <v>0</v>
      </c>
      <c r="AO23" s="14">
        <v>0</v>
      </c>
      <c r="AP23" s="18" t="e">
        <v>#DIV/0!</v>
      </c>
      <c r="AQ23" s="13">
        <v>0</v>
      </c>
      <c r="AR23" s="14">
        <v>0</v>
      </c>
      <c r="AS23" s="18" t="e">
        <v>#DIV/0!</v>
      </c>
      <c r="AT23" s="13">
        <v>0</v>
      </c>
      <c r="AU23" s="14">
        <v>0</v>
      </c>
      <c r="AV23" s="18" t="e">
        <v>#DIV/0!</v>
      </c>
      <c r="AW23" s="13">
        <v>0</v>
      </c>
      <c r="AX23" s="14">
        <v>0</v>
      </c>
      <c r="AY23" s="18" t="e">
        <v>#DIV/0!</v>
      </c>
      <c r="AZ23" s="13">
        <v>0</v>
      </c>
      <c r="BA23" s="14">
        <v>0</v>
      </c>
      <c r="BB23" s="18" t="e">
        <v>#DIV/0!</v>
      </c>
      <c r="BC23" s="13">
        <v>0</v>
      </c>
      <c r="BD23" s="14">
        <v>0</v>
      </c>
      <c r="BE23" s="18" t="e">
        <v>#DIV/0!</v>
      </c>
      <c r="BF23" s="13">
        <v>0</v>
      </c>
      <c r="BG23" s="14">
        <v>0</v>
      </c>
      <c r="BH23" s="18" t="e">
        <v>#DIV/0!</v>
      </c>
      <c r="BI23" s="13">
        <v>0</v>
      </c>
      <c r="BJ23" s="14">
        <v>0</v>
      </c>
      <c r="BK23" s="18" t="e">
        <v>#DIV/0!</v>
      </c>
      <c r="BL23" s="13">
        <v>0</v>
      </c>
      <c r="BM23" s="14">
        <v>0</v>
      </c>
      <c r="BN23" s="18" t="e">
        <v>#DIV/0!</v>
      </c>
      <c r="BO23" s="13">
        <v>0</v>
      </c>
      <c r="BP23" s="14">
        <v>0</v>
      </c>
      <c r="BQ23" s="18" t="e">
        <v>#DIV/0!</v>
      </c>
      <c r="BR23" s="13">
        <v>0</v>
      </c>
      <c r="BS23" s="14">
        <v>0</v>
      </c>
      <c r="BT23" s="18" t="e">
        <v>#DIV/0!</v>
      </c>
      <c r="BU23" s="13">
        <f t="shared" si="6"/>
        <v>0</v>
      </c>
      <c r="BV23" s="14">
        <f t="shared" si="6"/>
        <v>0</v>
      </c>
      <c r="BW23" s="18" t="e">
        <f t="shared" si="7"/>
        <v>#DIV/0!</v>
      </c>
    </row>
    <row r="24" spans="1:75" ht="15.75" hidden="1" customHeight="1" thickBot="1" x14ac:dyDescent="0.3">
      <c r="A24" s="51"/>
      <c r="B24" s="45"/>
      <c r="C24" s="4">
        <v>24</v>
      </c>
      <c r="D24" s="15">
        <v>0</v>
      </c>
      <c r="E24" s="16">
        <v>0</v>
      </c>
      <c r="F24" s="19" t="e">
        <v>#DIV/0!</v>
      </c>
      <c r="G24" s="15">
        <v>0</v>
      </c>
      <c r="H24" s="16">
        <v>0</v>
      </c>
      <c r="I24" s="19" t="e">
        <v>#DIV/0!</v>
      </c>
      <c r="J24" s="15">
        <v>0</v>
      </c>
      <c r="K24" s="16">
        <v>0</v>
      </c>
      <c r="L24" s="19" t="e">
        <v>#DIV/0!</v>
      </c>
      <c r="M24" s="15">
        <v>0</v>
      </c>
      <c r="N24" s="16">
        <v>0</v>
      </c>
      <c r="O24" s="19" t="e">
        <v>#DIV/0!</v>
      </c>
      <c r="P24" s="15">
        <v>0</v>
      </c>
      <c r="Q24" s="16">
        <v>0</v>
      </c>
      <c r="R24" s="19" t="e">
        <v>#DIV/0!</v>
      </c>
      <c r="S24" s="15">
        <v>0</v>
      </c>
      <c r="T24" s="16">
        <v>0</v>
      </c>
      <c r="U24" s="19" t="e">
        <v>#DIV/0!</v>
      </c>
      <c r="V24" s="15">
        <v>0</v>
      </c>
      <c r="W24" s="16">
        <v>0</v>
      </c>
      <c r="X24" s="19" t="e">
        <v>#DIV/0!</v>
      </c>
      <c r="Y24" s="15">
        <v>0</v>
      </c>
      <c r="Z24" s="16">
        <v>0</v>
      </c>
      <c r="AA24" s="19" t="e">
        <v>#DIV/0!</v>
      </c>
      <c r="AB24" s="15">
        <v>0</v>
      </c>
      <c r="AC24" s="16">
        <v>0</v>
      </c>
      <c r="AD24" s="19" t="e">
        <v>#DIV/0!</v>
      </c>
      <c r="AE24" s="15">
        <v>0</v>
      </c>
      <c r="AF24" s="16">
        <v>0</v>
      </c>
      <c r="AG24" s="19" t="e">
        <v>#DIV/0!</v>
      </c>
      <c r="AH24" s="15">
        <v>0</v>
      </c>
      <c r="AI24" s="16">
        <v>0</v>
      </c>
      <c r="AJ24" s="19" t="e">
        <v>#DIV/0!</v>
      </c>
      <c r="AK24" s="15">
        <v>0</v>
      </c>
      <c r="AL24" s="16">
        <v>0</v>
      </c>
      <c r="AM24" s="19" t="e">
        <v>#DIV/0!</v>
      </c>
      <c r="AN24" s="15">
        <v>0</v>
      </c>
      <c r="AO24" s="16">
        <v>0</v>
      </c>
      <c r="AP24" s="19" t="e">
        <v>#DIV/0!</v>
      </c>
      <c r="AQ24" s="15">
        <v>0</v>
      </c>
      <c r="AR24" s="16">
        <v>0</v>
      </c>
      <c r="AS24" s="19" t="e">
        <v>#DIV/0!</v>
      </c>
      <c r="AT24" s="15">
        <v>0</v>
      </c>
      <c r="AU24" s="16">
        <v>0</v>
      </c>
      <c r="AV24" s="19" t="e">
        <v>#DIV/0!</v>
      </c>
      <c r="AW24" s="15">
        <v>0</v>
      </c>
      <c r="AX24" s="16">
        <v>0</v>
      </c>
      <c r="AY24" s="19" t="e">
        <v>#DIV/0!</v>
      </c>
      <c r="AZ24" s="15">
        <v>0</v>
      </c>
      <c r="BA24" s="16">
        <v>0</v>
      </c>
      <c r="BB24" s="19" t="e">
        <v>#DIV/0!</v>
      </c>
      <c r="BC24" s="15">
        <v>0</v>
      </c>
      <c r="BD24" s="16">
        <v>0</v>
      </c>
      <c r="BE24" s="19" t="e">
        <v>#DIV/0!</v>
      </c>
      <c r="BF24" s="15">
        <v>0</v>
      </c>
      <c r="BG24" s="16">
        <v>0</v>
      </c>
      <c r="BH24" s="19" t="e">
        <v>#DIV/0!</v>
      </c>
      <c r="BI24" s="15">
        <v>0</v>
      </c>
      <c r="BJ24" s="16">
        <v>0</v>
      </c>
      <c r="BK24" s="19" t="e">
        <v>#DIV/0!</v>
      </c>
      <c r="BL24" s="15">
        <v>0</v>
      </c>
      <c r="BM24" s="16">
        <v>0</v>
      </c>
      <c r="BN24" s="19" t="e">
        <v>#DIV/0!</v>
      </c>
      <c r="BO24" s="15">
        <v>0</v>
      </c>
      <c r="BP24" s="16">
        <v>0</v>
      </c>
      <c r="BQ24" s="19" t="e">
        <v>#DIV/0!</v>
      </c>
      <c r="BR24" s="15">
        <v>0</v>
      </c>
      <c r="BS24" s="16">
        <v>0</v>
      </c>
      <c r="BT24" s="19" t="e">
        <v>#DIV/0!</v>
      </c>
      <c r="BU24" s="15">
        <f t="shared" si="6"/>
        <v>0</v>
      </c>
      <c r="BV24" s="16">
        <f t="shared" si="6"/>
        <v>0</v>
      </c>
      <c r="BW24" s="19" t="e">
        <f t="shared" si="7"/>
        <v>#DIV/0!</v>
      </c>
    </row>
    <row r="25" spans="1:75" ht="15" hidden="1" customHeight="1" x14ac:dyDescent="0.25">
      <c r="A25" s="51"/>
      <c r="B25" s="44" t="s">
        <v>35</v>
      </c>
      <c r="C25" s="2">
        <v>31</v>
      </c>
      <c r="D25" s="11">
        <v>0</v>
      </c>
      <c r="E25" s="12">
        <v>0</v>
      </c>
      <c r="F25" s="17" t="e">
        <v>#DIV/0!</v>
      </c>
      <c r="G25" s="11">
        <v>0</v>
      </c>
      <c r="H25" s="12">
        <v>0</v>
      </c>
      <c r="I25" s="17" t="e">
        <v>#DIV/0!</v>
      </c>
      <c r="J25" s="11">
        <v>0</v>
      </c>
      <c r="K25" s="12">
        <v>0</v>
      </c>
      <c r="L25" s="17" t="e">
        <v>#DIV/0!</v>
      </c>
      <c r="M25" s="11">
        <v>0</v>
      </c>
      <c r="N25" s="12">
        <v>0</v>
      </c>
      <c r="O25" s="17" t="e">
        <v>#DIV/0!</v>
      </c>
      <c r="P25" s="11">
        <v>0</v>
      </c>
      <c r="Q25" s="12">
        <v>0</v>
      </c>
      <c r="R25" s="17" t="e">
        <v>#DIV/0!</v>
      </c>
      <c r="S25" s="11">
        <v>0</v>
      </c>
      <c r="T25" s="12">
        <v>0</v>
      </c>
      <c r="U25" s="17" t="e">
        <v>#DIV/0!</v>
      </c>
      <c r="V25" s="11">
        <v>0</v>
      </c>
      <c r="W25" s="12">
        <v>0</v>
      </c>
      <c r="X25" s="17" t="e">
        <v>#DIV/0!</v>
      </c>
      <c r="Y25" s="11">
        <v>0</v>
      </c>
      <c r="Z25" s="12">
        <v>0</v>
      </c>
      <c r="AA25" s="17" t="e">
        <v>#DIV/0!</v>
      </c>
      <c r="AB25" s="11">
        <v>0</v>
      </c>
      <c r="AC25" s="12">
        <v>0</v>
      </c>
      <c r="AD25" s="17" t="e">
        <v>#DIV/0!</v>
      </c>
      <c r="AE25" s="11">
        <v>0</v>
      </c>
      <c r="AF25" s="12">
        <v>0</v>
      </c>
      <c r="AG25" s="17" t="e">
        <v>#DIV/0!</v>
      </c>
      <c r="AH25" s="11">
        <v>0</v>
      </c>
      <c r="AI25" s="12">
        <v>0</v>
      </c>
      <c r="AJ25" s="17" t="e">
        <v>#DIV/0!</v>
      </c>
      <c r="AK25" s="11">
        <v>0</v>
      </c>
      <c r="AL25" s="12">
        <v>0</v>
      </c>
      <c r="AM25" s="17" t="e">
        <v>#DIV/0!</v>
      </c>
      <c r="AN25" s="11">
        <v>0</v>
      </c>
      <c r="AO25" s="12">
        <v>0</v>
      </c>
      <c r="AP25" s="17" t="e">
        <v>#DIV/0!</v>
      </c>
      <c r="AQ25" s="11">
        <v>0</v>
      </c>
      <c r="AR25" s="12">
        <v>0</v>
      </c>
      <c r="AS25" s="17" t="e">
        <v>#DIV/0!</v>
      </c>
      <c r="AT25" s="11">
        <v>0</v>
      </c>
      <c r="AU25" s="12">
        <v>0</v>
      </c>
      <c r="AV25" s="17" t="e">
        <v>#DIV/0!</v>
      </c>
      <c r="AW25" s="11">
        <v>0</v>
      </c>
      <c r="AX25" s="12">
        <v>0</v>
      </c>
      <c r="AY25" s="17" t="e">
        <v>#DIV/0!</v>
      </c>
      <c r="AZ25" s="11">
        <v>0</v>
      </c>
      <c r="BA25" s="12">
        <v>0</v>
      </c>
      <c r="BB25" s="17" t="e">
        <v>#DIV/0!</v>
      </c>
      <c r="BC25" s="11">
        <v>0</v>
      </c>
      <c r="BD25" s="12">
        <v>0</v>
      </c>
      <c r="BE25" s="17" t="e">
        <v>#DIV/0!</v>
      </c>
      <c r="BF25" s="11">
        <v>0</v>
      </c>
      <c r="BG25" s="12">
        <v>0</v>
      </c>
      <c r="BH25" s="17" t="e">
        <v>#DIV/0!</v>
      </c>
      <c r="BI25" s="11">
        <v>0</v>
      </c>
      <c r="BJ25" s="12">
        <v>0</v>
      </c>
      <c r="BK25" s="17" t="e">
        <v>#DIV/0!</v>
      </c>
      <c r="BL25" s="11">
        <v>0</v>
      </c>
      <c r="BM25" s="12">
        <v>0</v>
      </c>
      <c r="BN25" s="17" t="e">
        <v>#DIV/0!</v>
      </c>
      <c r="BO25" s="11">
        <v>0</v>
      </c>
      <c r="BP25" s="12">
        <v>0</v>
      </c>
      <c r="BQ25" s="17" t="e">
        <v>#DIV/0!</v>
      </c>
      <c r="BR25" s="11">
        <v>0</v>
      </c>
      <c r="BS25" s="12">
        <v>0</v>
      </c>
      <c r="BT25" s="17" t="e">
        <v>#DIV/0!</v>
      </c>
      <c r="BU25" s="11">
        <f t="shared" si="6"/>
        <v>0</v>
      </c>
      <c r="BV25" s="12">
        <f t="shared" si="6"/>
        <v>0</v>
      </c>
      <c r="BW25" s="17" t="e">
        <f t="shared" si="7"/>
        <v>#DIV/0!</v>
      </c>
    </row>
    <row r="26" spans="1:75" ht="15" hidden="1" customHeight="1" x14ac:dyDescent="0.25">
      <c r="A26" s="51"/>
      <c r="B26" s="53"/>
      <c r="C26" s="3">
        <v>32</v>
      </c>
      <c r="D26" s="13">
        <v>0</v>
      </c>
      <c r="E26" s="14">
        <v>0</v>
      </c>
      <c r="F26" s="18" t="e">
        <v>#DIV/0!</v>
      </c>
      <c r="G26" s="13">
        <v>0</v>
      </c>
      <c r="H26" s="14">
        <v>0</v>
      </c>
      <c r="I26" s="18" t="e">
        <v>#DIV/0!</v>
      </c>
      <c r="J26" s="13">
        <v>0</v>
      </c>
      <c r="K26" s="14">
        <v>0</v>
      </c>
      <c r="L26" s="18" t="e">
        <v>#DIV/0!</v>
      </c>
      <c r="M26" s="13">
        <v>0</v>
      </c>
      <c r="N26" s="14">
        <v>0</v>
      </c>
      <c r="O26" s="18" t="e">
        <v>#DIV/0!</v>
      </c>
      <c r="P26" s="13">
        <v>0</v>
      </c>
      <c r="Q26" s="14">
        <v>0</v>
      </c>
      <c r="R26" s="18" t="e">
        <v>#DIV/0!</v>
      </c>
      <c r="S26" s="13">
        <v>0</v>
      </c>
      <c r="T26" s="14">
        <v>0</v>
      </c>
      <c r="U26" s="18" t="e">
        <v>#DIV/0!</v>
      </c>
      <c r="V26" s="13">
        <v>0</v>
      </c>
      <c r="W26" s="14">
        <v>0</v>
      </c>
      <c r="X26" s="18" t="e">
        <v>#DIV/0!</v>
      </c>
      <c r="Y26" s="13">
        <v>0</v>
      </c>
      <c r="Z26" s="14">
        <v>0</v>
      </c>
      <c r="AA26" s="18" t="e">
        <v>#DIV/0!</v>
      </c>
      <c r="AB26" s="13">
        <v>0</v>
      </c>
      <c r="AC26" s="14">
        <v>0</v>
      </c>
      <c r="AD26" s="18" t="e">
        <v>#DIV/0!</v>
      </c>
      <c r="AE26" s="13">
        <v>0</v>
      </c>
      <c r="AF26" s="14">
        <v>0</v>
      </c>
      <c r="AG26" s="18" t="e">
        <v>#DIV/0!</v>
      </c>
      <c r="AH26" s="13">
        <v>0</v>
      </c>
      <c r="AI26" s="14">
        <v>0</v>
      </c>
      <c r="AJ26" s="18" t="e">
        <v>#DIV/0!</v>
      </c>
      <c r="AK26" s="13">
        <v>0</v>
      </c>
      <c r="AL26" s="14">
        <v>0</v>
      </c>
      <c r="AM26" s="18" t="e">
        <v>#DIV/0!</v>
      </c>
      <c r="AN26" s="13">
        <v>0</v>
      </c>
      <c r="AO26" s="14">
        <v>0</v>
      </c>
      <c r="AP26" s="18" t="e">
        <v>#DIV/0!</v>
      </c>
      <c r="AQ26" s="13">
        <v>0</v>
      </c>
      <c r="AR26" s="14">
        <v>0</v>
      </c>
      <c r="AS26" s="18" t="e">
        <v>#DIV/0!</v>
      </c>
      <c r="AT26" s="13">
        <v>0</v>
      </c>
      <c r="AU26" s="14">
        <v>0</v>
      </c>
      <c r="AV26" s="18" t="e">
        <v>#DIV/0!</v>
      </c>
      <c r="AW26" s="13">
        <v>0</v>
      </c>
      <c r="AX26" s="14">
        <v>0</v>
      </c>
      <c r="AY26" s="18" t="e">
        <v>#DIV/0!</v>
      </c>
      <c r="AZ26" s="13">
        <v>0</v>
      </c>
      <c r="BA26" s="14">
        <v>0</v>
      </c>
      <c r="BB26" s="18" t="e">
        <v>#DIV/0!</v>
      </c>
      <c r="BC26" s="13">
        <v>0</v>
      </c>
      <c r="BD26" s="14">
        <v>0</v>
      </c>
      <c r="BE26" s="18" t="e">
        <v>#DIV/0!</v>
      </c>
      <c r="BF26" s="13">
        <v>0</v>
      </c>
      <c r="BG26" s="14">
        <v>0</v>
      </c>
      <c r="BH26" s="18" t="e">
        <v>#DIV/0!</v>
      </c>
      <c r="BI26" s="13">
        <v>0</v>
      </c>
      <c r="BJ26" s="14">
        <v>0</v>
      </c>
      <c r="BK26" s="18" t="e">
        <v>#DIV/0!</v>
      </c>
      <c r="BL26" s="13">
        <v>0</v>
      </c>
      <c r="BM26" s="14">
        <v>0</v>
      </c>
      <c r="BN26" s="18" t="e">
        <v>#DIV/0!</v>
      </c>
      <c r="BO26" s="13">
        <v>0</v>
      </c>
      <c r="BP26" s="14">
        <v>0</v>
      </c>
      <c r="BQ26" s="18" t="e">
        <v>#DIV/0!</v>
      </c>
      <c r="BR26" s="13">
        <v>0</v>
      </c>
      <c r="BS26" s="14">
        <v>0</v>
      </c>
      <c r="BT26" s="18" t="e">
        <v>#DIV/0!</v>
      </c>
      <c r="BU26" s="13">
        <f t="shared" si="6"/>
        <v>0</v>
      </c>
      <c r="BV26" s="14">
        <f t="shared" si="6"/>
        <v>0</v>
      </c>
      <c r="BW26" s="18" t="e">
        <f t="shared" si="7"/>
        <v>#DIV/0!</v>
      </c>
    </row>
    <row r="27" spans="1:75" ht="15" hidden="1" customHeight="1" x14ac:dyDescent="0.25">
      <c r="A27" s="51"/>
      <c r="B27" s="53"/>
      <c r="C27" s="3">
        <v>33</v>
      </c>
      <c r="D27" s="13">
        <v>0</v>
      </c>
      <c r="E27" s="14">
        <v>0</v>
      </c>
      <c r="F27" s="18" t="e">
        <v>#DIV/0!</v>
      </c>
      <c r="G27" s="13">
        <v>0</v>
      </c>
      <c r="H27" s="14">
        <v>0</v>
      </c>
      <c r="I27" s="18" t="e">
        <v>#DIV/0!</v>
      </c>
      <c r="J27" s="13">
        <v>0</v>
      </c>
      <c r="K27" s="14">
        <v>0</v>
      </c>
      <c r="L27" s="18" t="e">
        <v>#DIV/0!</v>
      </c>
      <c r="M27" s="13">
        <v>0</v>
      </c>
      <c r="N27" s="14">
        <v>0</v>
      </c>
      <c r="O27" s="18" t="e">
        <v>#DIV/0!</v>
      </c>
      <c r="P27" s="13">
        <v>0</v>
      </c>
      <c r="Q27" s="14">
        <v>0</v>
      </c>
      <c r="R27" s="18" t="e">
        <v>#DIV/0!</v>
      </c>
      <c r="S27" s="13">
        <v>0</v>
      </c>
      <c r="T27" s="14">
        <v>0</v>
      </c>
      <c r="U27" s="18" t="e">
        <v>#DIV/0!</v>
      </c>
      <c r="V27" s="13">
        <v>0</v>
      </c>
      <c r="W27" s="14">
        <v>0</v>
      </c>
      <c r="X27" s="18" t="e">
        <v>#DIV/0!</v>
      </c>
      <c r="Y27" s="13">
        <v>0</v>
      </c>
      <c r="Z27" s="14">
        <v>0</v>
      </c>
      <c r="AA27" s="18" t="e">
        <v>#DIV/0!</v>
      </c>
      <c r="AB27" s="13">
        <v>0</v>
      </c>
      <c r="AC27" s="14">
        <v>0</v>
      </c>
      <c r="AD27" s="18" t="e">
        <v>#DIV/0!</v>
      </c>
      <c r="AE27" s="13">
        <v>0</v>
      </c>
      <c r="AF27" s="14">
        <v>0</v>
      </c>
      <c r="AG27" s="18" t="e">
        <v>#DIV/0!</v>
      </c>
      <c r="AH27" s="13">
        <v>0</v>
      </c>
      <c r="AI27" s="14">
        <v>0</v>
      </c>
      <c r="AJ27" s="18" t="e">
        <v>#DIV/0!</v>
      </c>
      <c r="AK27" s="13">
        <v>0</v>
      </c>
      <c r="AL27" s="14">
        <v>0</v>
      </c>
      <c r="AM27" s="18" t="e">
        <v>#DIV/0!</v>
      </c>
      <c r="AN27" s="13">
        <v>0</v>
      </c>
      <c r="AO27" s="14">
        <v>0</v>
      </c>
      <c r="AP27" s="18" t="e">
        <v>#DIV/0!</v>
      </c>
      <c r="AQ27" s="13">
        <v>0</v>
      </c>
      <c r="AR27" s="14">
        <v>0</v>
      </c>
      <c r="AS27" s="18" t="e">
        <v>#DIV/0!</v>
      </c>
      <c r="AT27" s="13">
        <v>0</v>
      </c>
      <c r="AU27" s="14">
        <v>0</v>
      </c>
      <c r="AV27" s="18" t="e">
        <v>#DIV/0!</v>
      </c>
      <c r="AW27" s="13">
        <v>0</v>
      </c>
      <c r="AX27" s="14">
        <v>0</v>
      </c>
      <c r="AY27" s="18" t="e">
        <v>#DIV/0!</v>
      </c>
      <c r="AZ27" s="13">
        <v>0</v>
      </c>
      <c r="BA27" s="14">
        <v>0</v>
      </c>
      <c r="BB27" s="18" t="e">
        <v>#DIV/0!</v>
      </c>
      <c r="BC27" s="13">
        <v>0</v>
      </c>
      <c r="BD27" s="14">
        <v>0</v>
      </c>
      <c r="BE27" s="18" t="e">
        <v>#DIV/0!</v>
      </c>
      <c r="BF27" s="13">
        <v>0</v>
      </c>
      <c r="BG27" s="14">
        <v>0</v>
      </c>
      <c r="BH27" s="18" t="e">
        <v>#DIV/0!</v>
      </c>
      <c r="BI27" s="13">
        <v>0</v>
      </c>
      <c r="BJ27" s="14">
        <v>0</v>
      </c>
      <c r="BK27" s="18" t="e">
        <v>#DIV/0!</v>
      </c>
      <c r="BL27" s="13">
        <v>0</v>
      </c>
      <c r="BM27" s="14">
        <v>0</v>
      </c>
      <c r="BN27" s="18" t="e">
        <v>#DIV/0!</v>
      </c>
      <c r="BO27" s="13">
        <v>0</v>
      </c>
      <c r="BP27" s="14">
        <v>0</v>
      </c>
      <c r="BQ27" s="18" t="e">
        <v>#DIV/0!</v>
      </c>
      <c r="BR27" s="13">
        <v>0</v>
      </c>
      <c r="BS27" s="14">
        <v>0</v>
      </c>
      <c r="BT27" s="18" t="e">
        <v>#DIV/0!</v>
      </c>
      <c r="BU27" s="13">
        <f t="shared" si="6"/>
        <v>0</v>
      </c>
      <c r="BV27" s="14">
        <f t="shared" si="6"/>
        <v>0</v>
      </c>
      <c r="BW27" s="18" t="e">
        <f t="shared" si="7"/>
        <v>#DIV/0!</v>
      </c>
    </row>
    <row r="28" spans="1:75" ht="15.75" hidden="1" customHeight="1" thickBot="1" x14ac:dyDescent="0.3">
      <c r="A28" s="52"/>
      <c r="B28" s="45"/>
      <c r="C28" s="4">
        <v>34</v>
      </c>
      <c r="D28" s="15">
        <v>0</v>
      </c>
      <c r="E28" s="16">
        <v>0</v>
      </c>
      <c r="F28" s="19" t="e">
        <v>#DIV/0!</v>
      </c>
      <c r="G28" s="15">
        <v>0</v>
      </c>
      <c r="H28" s="16">
        <v>0</v>
      </c>
      <c r="I28" s="19" t="e">
        <v>#DIV/0!</v>
      </c>
      <c r="J28" s="15">
        <v>0</v>
      </c>
      <c r="K28" s="16">
        <v>0</v>
      </c>
      <c r="L28" s="19" t="e">
        <v>#DIV/0!</v>
      </c>
      <c r="M28" s="15">
        <v>0</v>
      </c>
      <c r="N28" s="16">
        <v>0</v>
      </c>
      <c r="O28" s="19" t="e">
        <v>#DIV/0!</v>
      </c>
      <c r="P28" s="15">
        <v>0</v>
      </c>
      <c r="Q28" s="16">
        <v>0</v>
      </c>
      <c r="R28" s="19" t="e">
        <v>#DIV/0!</v>
      </c>
      <c r="S28" s="15">
        <v>0</v>
      </c>
      <c r="T28" s="16">
        <v>0</v>
      </c>
      <c r="U28" s="19" t="e">
        <v>#DIV/0!</v>
      </c>
      <c r="V28" s="15">
        <v>0</v>
      </c>
      <c r="W28" s="16">
        <v>0</v>
      </c>
      <c r="X28" s="19" t="e">
        <v>#DIV/0!</v>
      </c>
      <c r="Y28" s="15">
        <v>0</v>
      </c>
      <c r="Z28" s="16">
        <v>0</v>
      </c>
      <c r="AA28" s="19" t="e">
        <v>#DIV/0!</v>
      </c>
      <c r="AB28" s="15">
        <v>0</v>
      </c>
      <c r="AC28" s="16">
        <v>0</v>
      </c>
      <c r="AD28" s="19" t="e">
        <v>#DIV/0!</v>
      </c>
      <c r="AE28" s="15">
        <v>0</v>
      </c>
      <c r="AF28" s="16">
        <v>0</v>
      </c>
      <c r="AG28" s="19" t="e">
        <v>#DIV/0!</v>
      </c>
      <c r="AH28" s="15">
        <v>0</v>
      </c>
      <c r="AI28" s="16">
        <v>0</v>
      </c>
      <c r="AJ28" s="19" t="e">
        <v>#DIV/0!</v>
      </c>
      <c r="AK28" s="15">
        <v>0</v>
      </c>
      <c r="AL28" s="16">
        <v>0</v>
      </c>
      <c r="AM28" s="19" t="e">
        <v>#DIV/0!</v>
      </c>
      <c r="AN28" s="15">
        <v>0</v>
      </c>
      <c r="AO28" s="16">
        <v>0</v>
      </c>
      <c r="AP28" s="19" t="e">
        <v>#DIV/0!</v>
      </c>
      <c r="AQ28" s="15">
        <v>0</v>
      </c>
      <c r="AR28" s="16">
        <v>0</v>
      </c>
      <c r="AS28" s="19" t="e">
        <v>#DIV/0!</v>
      </c>
      <c r="AT28" s="15">
        <v>0</v>
      </c>
      <c r="AU28" s="16">
        <v>0</v>
      </c>
      <c r="AV28" s="19" t="e">
        <v>#DIV/0!</v>
      </c>
      <c r="AW28" s="15">
        <v>0</v>
      </c>
      <c r="AX28" s="16">
        <v>0</v>
      </c>
      <c r="AY28" s="19" t="e">
        <v>#DIV/0!</v>
      </c>
      <c r="AZ28" s="15">
        <v>0</v>
      </c>
      <c r="BA28" s="16">
        <v>0</v>
      </c>
      <c r="BB28" s="19" t="e">
        <v>#DIV/0!</v>
      </c>
      <c r="BC28" s="15">
        <v>0</v>
      </c>
      <c r="BD28" s="16">
        <v>0</v>
      </c>
      <c r="BE28" s="19" t="e">
        <v>#DIV/0!</v>
      </c>
      <c r="BF28" s="15">
        <v>0</v>
      </c>
      <c r="BG28" s="16">
        <v>0</v>
      </c>
      <c r="BH28" s="19" t="e">
        <v>#DIV/0!</v>
      </c>
      <c r="BI28" s="15">
        <v>0</v>
      </c>
      <c r="BJ28" s="16">
        <v>0</v>
      </c>
      <c r="BK28" s="19" t="e">
        <v>#DIV/0!</v>
      </c>
      <c r="BL28" s="15">
        <v>0</v>
      </c>
      <c r="BM28" s="16">
        <v>0</v>
      </c>
      <c r="BN28" s="19" t="e">
        <v>#DIV/0!</v>
      </c>
      <c r="BO28" s="15">
        <v>0</v>
      </c>
      <c r="BP28" s="16">
        <v>0</v>
      </c>
      <c r="BQ28" s="19" t="e">
        <v>#DIV/0!</v>
      </c>
      <c r="BR28" s="15">
        <v>0</v>
      </c>
      <c r="BS28" s="16">
        <v>0</v>
      </c>
      <c r="BT28" s="19" t="e">
        <v>#DIV/0!</v>
      </c>
      <c r="BU28" s="15">
        <f t="shared" si="6"/>
        <v>0</v>
      </c>
      <c r="BV28" s="16">
        <f t="shared" si="6"/>
        <v>0</v>
      </c>
      <c r="BW28" s="19" t="e">
        <f t="shared" si="7"/>
        <v>#DIV/0!</v>
      </c>
    </row>
    <row r="29" spans="1:75" ht="15.75" thickBot="1" x14ac:dyDescent="0.3"/>
    <row r="30" spans="1:75" ht="21.75" thickBot="1" x14ac:dyDescent="0.3">
      <c r="BO30" s="48" t="s">
        <v>3</v>
      </c>
      <c r="BP30" s="49"/>
      <c r="BQ30" s="49"/>
      <c r="BU30" s="20">
        <f>SUM(BU9:BU28)</f>
        <v>482</v>
      </c>
      <c r="BV30" s="20">
        <f>SUM(BV9:BV28)</f>
        <v>164</v>
      </c>
      <c r="BW30" s="21">
        <f>BV30/BU30</f>
        <v>0.34024896265560167</v>
      </c>
    </row>
    <row r="31" spans="1:75" ht="15.75" thickBot="1" x14ac:dyDescent="0.3"/>
    <row r="32" spans="1:75" ht="21" x14ac:dyDescent="0.25">
      <c r="A32" s="22" t="s">
        <v>39</v>
      </c>
      <c r="B32" s="35" t="s">
        <v>40</v>
      </c>
      <c r="C32" s="36"/>
      <c r="D32" s="37" t="s">
        <v>41</v>
      </c>
      <c r="E32" s="38"/>
      <c r="F32" s="39" t="s">
        <v>42</v>
      </c>
      <c r="G32" s="40"/>
      <c r="H32" s="40"/>
      <c r="I32" s="40"/>
      <c r="J32" s="40"/>
      <c r="K32" s="47" t="s">
        <v>43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 t="s">
        <v>44</v>
      </c>
      <c r="W32" s="47"/>
      <c r="X32" s="47"/>
    </row>
    <row r="33" spans="1:24" ht="15.75" x14ac:dyDescent="0.25">
      <c r="A33" s="23" t="s">
        <v>46</v>
      </c>
      <c r="B33" s="27" t="s">
        <v>47</v>
      </c>
      <c r="C33" s="27"/>
      <c r="D33" s="28"/>
      <c r="E33" s="28"/>
      <c r="F33" s="28">
        <v>11</v>
      </c>
      <c r="G33" s="28"/>
      <c r="H33" s="28"/>
      <c r="I33" s="28"/>
      <c r="J33" s="28"/>
      <c r="K33" s="28">
        <v>7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5"/>
      <c r="W33" s="25"/>
      <c r="X33" s="25"/>
    </row>
    <row r="34" spans="1:24" ht="15.75" x14ac:dyDescent="0.25">
      <c r="A34" s="23" t="s">
        <v>48</v>
      </c>
      <c r="B34" s="33">
        <v>44928</v>
      </c>
      <c r="C34" s="34"/>
      <c r="D34" s="28"/>
      <c r="E34" s="28"/>
      <c r="F34" s="28">
        <v>10</v>
      </c>
      <c r="G34" s="28"/>
      <c r="H34" s="28"/>
      <c r="I34" s="28"/>
      <c r="J34" s="28"/>
      <c r="K34" s="28">
        <v>5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5"/>
      <c r="W34" s="25"/>
      <c r="X34" s="25"/>
    </row>
    <row r="35" spans="1:24" ht="15.75" x14ac:dyDescent="0.25">
      <c r="A35" s="23" t="s">
        <v>49</v>
      </c>
      <c r="B35" s="26">
        <v>44959</v>
      </c>
      <c r="C35" s="27"/>
      <c r="D35" s="28"/>
      <c r="E35" s="28"/>
      <c r="F35" s="28">
        <v>12</v>
      </c>
      <c r="G35" s="28"/>
      <c r="H35" s="28"/>
      <c r="I35" s="28"/>
      <c r="J35" s="28"/>
      <c r="K35" s="28">
        <v>41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5"/>
      <c r="W35" s="25"/>
      <c r="X35" s="25"/>
    </row>
    <row r="36" spans="1:24" ht="15.75" x14ac:dyDescent="0.25">
      <c r="A36" s="24" t="s">
        <v>50</v>
      </c>
      <c r="B36" s="31">
        <v>45018</v>
      </c>
      <c r="C36" s="32"/>
      <c r="D36" s="28"/>
      <c r="E36" s="28"/>
      <c r="F36" s="28">
        <v>7</v>
      </c>
      <c r="G36" s="28"/>
      <c r="H36" s="28"/>
      <c r="I36" s="28"/>
      <c r="J36" s="28"/>
      <c r="K36" s="28">
        <v>44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5"/>
      <c r="W36" s="25"/>
      <c r="X36" s="25"/>
    </row>
    <row r="37" spans="1:24" ht="15.75" x14ac:dyDescent="0.25">
      <c r="A37" s="23" t="s">
        <v>51</v>
      </c>
      <c r="B37" s="26">
        <v>45048</v>
      </c>
      <c r="C37" s="27"/>
      <c r="D37" s="28"/>
      <c r="E37" s="28"/>
      <c r="F37" s="28">
        <v>8</v>
      </c>
      <c r="G37" s="28"/>
      <c r="H37" s="28"/>
      <c r="I37" s="28"/>
      <c r="J37" s="28"/>
      <c r="K37" s="28">
        <v>53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5"/>
      <c r="W37" s="25"/>
      <c r="X37" s="25"/>
    </row>
    <row r="38" spans="1:24" ht="15.75" x14ac:dyDescent="0.25">
      <c r="A38" s="23" t="s">
        <v>52</v>
      </c>
      <c r="B38" s="26">
        <v>45079</v>
      </c>
      <c r="C38" s="27"/>
      <c r="D38" s="28"/>
      <c r="E38" s="28"/>
      <c r="F38" s="28">
        <v>5</v>
      </c>
      <c r="G38" s="28"/>
      <c r="H38" s="28"/>
      <c r="I38" s="28"/>
      <c r="J38" s="28"/>
      <c r="K38" s="28">
        <v>14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5"/>
      <c r="W38" s="25"/>
      <c r="X38" s="25"/>
    </row>
    <row r="39" spans="1:24" ht="15.75" x14ac:dyDescent="0.25">
      <c r="A39" s="23"/>
      <c r="B39" s="27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5"/>
      <c r="W39" s="25"/>
      <c r="X39" s="25"/>
    </row>
    <row r="40" spans="1:24" ht="15.75" x14ac:dyDescent="0.25">
      <c r="A40" s="23"/>
      <c r="B40" s="27"/>
      <c r="C40" s="27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5"/>
      <c r="W40" s="25"/>
      <c r="X40" s="25"/>
    </row>
    <row r="41" spans="1:24" ht="15.75" x14ac:dyDescent="0.25">
      <c r="A41" s="23"/>
      <c r="B41" s="26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5"/>
      <c r="W41" s="25"/>
      <c r="X41" s="25"/>
    </row>
    <row r="42" spans="1:24" ht="15.75" x14ac:dyDescent="0.25">
      <c r="A42" s="23"/>
      <c r="B42" s="26"/>
      <c r="C42" s="27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5"/>
      <c r="W42" s="25"/>
      <c r="X42" s="25"/>
    </row>
    <row r="43" spans="1:24" ht="15.75" x14ac:dyDescent="0.25">
      <c r="A43" s="23"/>
      <c r="B43" s="26"/>
      <c r="C43" s="27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5"/>
      <c r="W43" s="25"/>
      <c r="X43" s="25"/>
    </row>
    <row r="44" spans="1:24" ht="15.75" x14ac:dyDescent="0.25">
      <c r="A44" s="23"/>
      <c r="B44" s="26"/>
      <c r="C44" s="27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5"/>
      <c r="W44" s="25"/>
      <c r="X44" s="25"/>
    </row>
    <row r="45" spans="1:24" ht="15.75" x14ac:dyDescent="0.25">
      <c r="A45" s="23"/>
      <c r="B45" s="26"/>
      <c r="C45" s="27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5"/>
      <c r="W45" s="25"/>
      <c r="X45" s="25"/>
    </row>
    <row r="46" spans="1:24" ht="15.75" x14ac:dyDescent="0.25">
      <c r="A46" s="23"/>
      <c r="B46" s="26"/>
      <c r="C46" s="2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5"/>
      <c r="W46" s="25"/>
      <c r="X46" s="25"/>
    </row>
    <row r="47" spans="1:24" ht="15.75" x14ac:dyDescent="0.25">
      <c r="A47" s="23"/>
      <c r="B47" s="26"/>
      <c r="C47" s="27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5"/>
      <c r="W47" s="25"/>
      <c r="X47" s="25"/>
    </row>
  </sheetData>
  <mergeCells count="115">
    <mergeCell ref="BO30:BQ30"/>
    <mergeCell ref="B39:C39"/>
    <mergeCell ref="B41:C41"/>
    <mergeCell ref="B43:C43"/>
    <mergeCell ref="B45:C45"/>
    <mergeCell ref="BO7:BQ7"/>
    <mergeCell ref="BR7:BT7"/>
    <mergeCell ref="BU7:BW7"/>
    <mergeCell ref="A9:A28"/>
    <mergeCell ref="B9:B12"/>
    <mergeCell ref="B13:B16"/>
    <mergeCell ref="B17:B20"/>
    <mergeCell ref="B21:B24"/>
    <mergeCell ref="B25:B28"/>
    <mergeCell ref="AW7:AY7"/>
    <mergeCell ref="AZ7:BB7"/>
    <mergeCell ref="BC7:BE7"/>
    <mergeCell ref="BF7:BH7"/>
    <mergeCell ref="BI7:BK7"/>
    <mergeCell ref="BL7:BN7"/>
    <mergeCell ref="AT7:AV7"/>
    <mergeCell ref="M7:O7"/>
    <mergeCell ref="P7:R7"/>
    <mergeCell ref="S7:U7"/>
    <mergeCell ref="V7:X7"/>
    <mergeCell ref="Y7:AA7"/>
    <mergeCell ref="AB7:AD7"/>
    <mergeCell ref="AE7:AG7"/>
    <mergeCell ref="AH7:AJ7"/>
    <mergeCell ref="AK7:AM7"/>
    <mergeCell ref="AN7:AP7"/>
    <mergeCell ref="AQ7:AS7"/>
    <mergeCell ref="F33:J33"/>
    <mergeCell ref="V32:X32"/>
    <mergeCell ref="K33:U33"/>
    <mergeCell ref="V33:X33"/>
    <mergeCell ref="B32:C32"/>
    <mergeCell ref="D32:E32"/>
    <mergeCell ref="F32:J32"/>
    <mergeCell ref="J7:L7"/>
    <mergeCell ref="A7:A8"/>
    <mergeCell ref="B7:B8"/>
    <mergeCell ref="C7:C8"/>
    <mergeCell ref="D7:F7"/>
    <mergeCell ref="G7:I7"/>
    <mergeCell ref="K32:U32"/>
    <mergeCell ref="D37:E37"/>
    <mergeCell ref="B38:C38"/>
    <mergeCell ref="D38:E38"/>
    <mergeCell ref="B36:C36"/>
    <mergeCell ref="D36:E36"/>
    <mergeCell ref="B35:C35"/>
    <mergeCell ref="D35:E35"/>
    <mergeCell ref="B34:C34"/>
    <mergeCell ref="D34:E34"/>
    <mergeCell ref="B37:C37"/>
    <mergeCell ref="K38:U38"/>
    <mergeCell ref="V38:X38"/>
    <mergeCell ref="F35:J35"/>
    <mergeCell ref="K35:U35"/>
    <mergeCell ref="V35:X35"/>
    <mergeCell ref="F36:J36"/>
    <mergeCell ref="K36:U36"/>
    <mergeCell ref="V36:X36"/>
    <mergeCell ref="F34:J34"/>
    <mergeCell ref="K34:U34"/>
    <mergeCell ref="V34:X34"/>
    <mergeCell ref="A5:BW6"/>
    <mergeCell ref="B47:C47"/>
    <mergeCell ref="D47:E47"/>
    <mergeCell ref="F47:J47"/>
    <mergeCell ref="K47:U47"/>
    <mergeCell ref="V47:X47"/>
    <mergeCell ref="D45:E45"/>
    <mergeCell ref="F45:J45"/>
    <mergeCell ref="K45:U45"/>
    <mergeCell ref="V45:X45"/>
    <mergeCell ref="B46:C46"/>
    <mergeCell ref="D46:E46"/>
    <mergeCell ref="F46:J46"/>
    <mergeCell ref="K46:U46"/>
    <mergeCell ref="V46:X46"/>
    <mergeCell ref="D43:E43"/>
    <mergeCell ref="F43:J43"/>
    <mergeCell ref="K43:U43"/>
    <mergeCell ref="B33:C33"/>
    <mergeCell ref="D33:E33"/>
    <mergeCell ref="F37:J37"/>
    <mergeCell ref="K37:U37"/>
    <mergeCell ref="V37:X37"/>
    <mergeCell ref="F38:J38"/>
    <mergeCell ref="V43:X43"/>
    <mergeCell ref="B44:C44"/>
    <mergeCell ref="D44:E44"/>
    <mergeCell ref="F44:J44"/>
    <mergeCell ref="K44:U44"/>
    <mergeCell ref="V44:X44"/>
    <mergeCell ref="F39:J39"/>
    <mergeCell ref="K39:U39"/>
    <mergeCell ref="V39:X39"/>
    <mergeCell ref="F40:J40"/>
    <mergeCell ref="K40:U40"/>
    <mergeCell ref="V40:X40"/>
    <mergeCell ref="D41:E41"/>
    <mergeCell ref="B42:C42"/>
    <mergeCell ref="D42:E42"/>
    <mergeCell ref="D39:E39"/>
    <mergeCell ref="B40:C40"/>
    <mergeCell ref="D40:E40"/>
    <mergeCell ref="F41:J41"/>
    <mergeCell ref="K41:U41"/>
    <mergeCell ref="V41:X41"/>
    <mergeCell ref="F42:J42"/>
    <mergeCell ref="K42:U42"/>
    <mergeCell ref="V42:X4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حصر كابلات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2023-02-06T14:18:28Z</dcterms:modified>
</cp:coreProperties>
</file>